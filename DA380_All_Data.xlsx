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0851A4DE-9A5D-4BFD-8F23-FCE94624BC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1" r:id="rId1"/>
    <sheet name="Raw Data (120 obs.)" sheetId="2" r:id="rId2"/>
    <sheet name="Descriptive Statistics" sheetId="3" r:id="rId3"/>
    <sheet name="Distribution Fitting" sheetId="4" r:id="rId4"/>
    <sheet name="Queueing Theory" sheetId="5" r:id="rId5"/>
    <sheet name="Manual Trace (15 pkgs)" sheetId="6" r:id="rId6"/>
    <sheet name="State Variables" sheetId="7" r:id="rId7"/>
    <sheet name="Event Definitions" sheetId="8" r:id="rId8"/>
    <sheet name="Simulation Results – A" sheetId="9" r:id="rId9"/>
    <sheet name="Simulation Results – B" sheetId="10" r:id="rId10"/>
    <sheet name="Confidence Intervals" sheetId="11" r:id="rId11"/>
  </sheets>
  <calcPr calcId="181029"/>
</workbook>
</file>

<file path=xl/calcChain.xml><?xml version="1.0" encoding="utf-8"?>
<calcChain xmlns="http://schemas.openxmlformats.org/spreadsheetml/2006/main">
  <c r="E34" i="10" l="1"/>
  <c r="D34" i="10"/>
  <c r="C34" i="10"/>
  <c r="B34" i="10"/>
  <c r="E34" i="9"/>
  <c r="D34" i="9"/>
  <c r="C34" i="9"/>
  <c r="B34" i="9"/>
  <c r="M19" i="6"/>
  <c r="L19" i="6"/>
  <c r="K19" i="6"/>
  <c r="J19" i="6"/>
  <c r="I19" i="6"/>
  <c r="H19" i="6"/>
  <c r="G19" i="6"/>
  <c r="F19" i="6"/>
  <c r="E19" i="6"/>
  <c r="D19" i="6"/>
  <c r="C19" i="6"/>
  <c r="C17" i="5"/>
  <c r="C16" i="5"/>
  <c r="C15" i="5"/>
  <c r="C14" i="5"/>
  <c r="C13" i="5"/>
  <c r="C12" i="5"/>
  <c r="C8" i="5"/>
  <c r="C7" i="5"/>
  <c r="C6" i="5"/>
  <c r="C5" i="5"/>
  <c r="E8" i="3"/>
  <c r="D8" i="3"/>
  <c r="C8" i="3"/>
  <c r="B8" i="3"/>
  <c r="E7" i="3"/>
  <c r="D7" i="3"/>
  <c r="C7" i="3"/>
  <c r="B7" i="3"/>
  <c r="E6" i="3"/>
  <c r="D6" i="3"/>
  <c r="C6" i="3"/>
  <c r="B6" i="3"/>
  <c r="E5" i="3"/>
  <c r="E9" i="3" s="1"/>
  <c r="D5" i="3"/>
  <c r="D9" i="3" s="1"/>
  <c r="C5" i="3"/>
  <c r="C9" i="3" s="1"/>
  <c r="B5" i="3"/>
  <c r="B9" i="3" s="1"/>
  <c r="E4" i="3"/>
  <c r="D4" i="3"/>
  <c r="C4" i="3"/>
  <c r="B4" i="3"/>
  <c r="G124" i="2"/>
  <c r="F124" i="2"/>
  <c r="E124" i="2"/>
  <c r="D124" i="2"/>
  <c r="C124" i="2"/>
</calcChain>
</file>

<file path=xl/sharedStrings.xml><?xml version="1.0" encoding="utf-8"?>
<sst xmlns="http://schemas.openxmlformats.org/spreadsheetml/2006/main" count="356" uniqueCount="184">
  <si>
    <t>DA 380 – Data Modeling and Simulation</t>
  </si>
  <si>
    <t>Discrete-Event Simulation – Global Logistics Hub | All Data Workbook</t>
  </si>
  <si>
    <t>Sheet Name</t>
  </si>
  <si>
    <t>Contents</t>
  </si>
  <si>
    <t>Phase</t>
  </si>
  <si>
    <t>Raw Data (120 obs.)</t>
  </si>
  <si>
    <t>120 package observations: interarrival, inspection, sorting, loading times</t>
  </si>
  <si>
    <t>Phase I</t>
  </si>
  <si>
    <t>Descriptive Statistics</t>
  </si>
  <si>
    <t>Mean, Std, Min, Max, CV for all time variables</t>
  </si>
  <si>
    <t>Distribution Fitting</t>
  </si>
  <si>
    <t>KS Test results – best fit distributions for each variable</t>
  </si>
  <si>
    <t>Queueing Theory</t>
  </si>
  <si>
    <t>M/M/1 and M/M/c calculations using λ and μ from data</t>
  </si>
  <si>
    <t>Manual Trace (15 pkgs)</t>
  </si>
  <si>
    <t>Step-by-step DES trace for first 15 packages</t>
  </si>
  <si>
    <t>Phase II</t>
  </si>
  <si>
    <t>State Variables</t>
  </si>
  <si>
    <t>System state variable definitions</t>
  </si>
  <si>
    <t>Event Definitions</t>
  </si>
  <si>
    <t>All simulation events and their descriptions</t>
  </si>
  <si>
    <t>Simulation Results – A</t>
  </si>
  <si>
    <t>30 replication results for Design A (1 inspector)</t>
  </si>
  <si>
    <t>Phase III/IV</t>
  </si>
  <si>
    <t>Simulation Results – B</t>
  </si>
  <si>
    <t>30 replication results for Design B (2 inspectors)</t>
  </si>
  <si>
    <t>Confidence Intervals</t>
  </si>
  <si>
    <t>95% CI comparison: Design A vs Design B</t>
  </si>
  <si>
    <t>Phase IV</t>
  </si>
  <si>
    <t>Raw Observation Data – 120 Packages (Phase I)</t>
  </si>
  <si>
    <t>Package_ID</t>
  </si>
  <si>
    <t>Package_Type</t>
  </si>
  <si>
    <t>Interarrival_Time_min</t>
  </si>
  <si>
    <t>Inspection_Time_min</t>
  </si>
  <si>
    <t>Sorting_Time_min</t>
  </si>
  <si>
    <t>Loading_Time_min</t>
  </si>
  <si>
    <t>Arrival_Time_min</t>
  </si>
  <si>
    <t>Standard</t>
  </si>
  <si>
    <t>Express</t>
  </si>
  <si>
    <t>AVERAGES</t>
  </si>
  <si>
    <t>Descriptive Statistics – All Time Variables (Phase I)</t>
  </si>
  <si>
    <t>Statistic</t>
  </si>
  <si>
    <t>Interarrival Time (min)</t>
  </si>
  <si>
    <t>Inspection Time (min)</t>
  </si>
  <si>
    <t>Sorting Time (min)</t>
  </si>
  <si>
    <t>Loading Time (min)</t>
  </si>
  <si>
    <t>Count</t>
  </si>
  <si>
    <t>Mean</t>
  </si>
  <si>
    <t>Std Dev</t>
  </si>
  <si>
    <t>Min</t>
  </si>
  <si>
    <t>Median</t>
  </si>
  <si>
    <t>Max</t>
  </si>
  <si>
    <t>CV</t>
  </si>
  <si>
    <t>Distribution Fitting – KS Goodness-of-Fit Test Results (Phase I)</t>
  </si>
  <si>
    <t>Variable</t>
  </si>
  <si>
    <t>Best Fit Distribution</t>
  </si>
  <si>
    <t>KS Statistic</t>
  </si>
  <si>
    <t>p-value</t>
  </si>
  <si>
    <t>Result</t>
  </si>
  <si>
    <t>Parameters</t>
  </si>
  <si>
    <t>Interarrival Time</t>
  </si>
  <si>
    <t>Exponential</t>
  </si>
  <si>
    <t>✅ Accepted</t>
  </si>
  <si>
    <t>scale = 2.782 min</t>
  </si>
  <si>
    <t>Inspection Time</t>
  </si>
  <si>
    <t>Gamma</t>
  </si>
  <si>
    <t>shape=1.11, scale=1.66</t>
  </si>
  <si>
    <t>Sorting Time</t>
  </si>
  <si>
    <t>Normal</t>
  </si>
  <si>
    <t>μ=1.508, σ=0.310</t>
  </si>
  <si>
    <t>Loading Time</t>
  </si>
  <si>
    <t>μ=2.081, σ=0.623</t>
  </si>
  <si>
    <t>Queueing Theory Analysis – M/M/1 &amp; M/M/c Models (Phase I)</t>
  </si>
  <si>
    <t>Input Parameters (from Data)</t>
  </si>
  <si>
    <t>Parameter</t>
  </si>
  <si>
    <t>Symbol</t>
  </si>
  <si>
    <t>Formula / Value</t>
  </si>
  <si>
    <t>Mean Interarrival Time</t>
  </si>
  <si>
    <t>E[A]</t>
  </si>
  <si>
    <t>min</t>
  </si>
  <si>
    <t>Mean Inspection Time</t>
  </si>
  <si>
    <t>E[S]</t>
  </si>
  <si>
    <t>Arrival Rate</t>
  </si>
  <si>
    <t>λ</t>
  </si>
  <si>
    <t>pkg/min</t>
  </si>
  <si>
    <t>Service Rate</t>
  </si>
  <si>
    <t>μ</t>
  </si>
  <si>
    <t>M/M/1 Model Results</t>
  </si>
  <si>
    <t>Metric</t>
  </si>
  <si>
    <t>Formula</t>
  </si>
  <si>
    <t>Value</t>
  </si>
  <si>
    <t>Traffic Intensity</t>
  </si>
  <si>
    <t>ρ</t>
  </si>
  <si>
    <t>Avg Packages in Queue</t>
  </si>
  <si>
    <t>Lq</t>
  </si>
  <si>
    <t>packages</t>
  </si>
  <si>
    <t>Avg Packages in System</t>
  </si>
  <si>
    <t>L</t>
  </si>
  <si>
    <t>Avg Wait in Queue</t>
  </si>
  <si>
    <t>Wq</t>
  </si>
  <si>
    <t>Avg Time in System</t>
  </si>
  <si>
    <t>W</t>
  </si>
  <si>
    <t>System Stability</t>
  </si>
  <si>
    <t>M/M/c Comparison (c = 1, 2, 3 servers)</t>
  </si>
  <si>
    <t>Servers (c)</t>
  </si>
  <si>
    <t>ρ per server</t>
  </si>
  <si>
    <t>Wq (min)</t>
  </si>
  <si>
    <t>Manual Discrete-Event Simulation Trace – First 15 Packages (Phase II)</t>
  </si>
  <si>
    <t>ID</t>
  </si>
  <si>
    <t>Type</t>
  </si>
  <si>
    <t>Arrival</t>
  </si>
  <si>
    <t>Ins.Start</t>
  </si>
  <si>
    <t>Ins.End</t>
  </si>
  <si>
    <t>W-Ins</t>
  </si>
  <si>
    <t>Srt.Start</t>
  </si>
  <si>
    <t>Srt.End</t>
  </si>
  <si>
    <t>W-Srt</t>
  </si>
  <si>
    <t>Ld.End</t>
  </si>
  <si>
    <t>Sys.Time</t>
  </si>
  <si>
    <t>Queue</t>
  </si>
  <si>
    <t>Srt Q</t>
  </si>
  <si>
    <t>System State Variables Definition (Phase II)</t>
  </si>
  <si>
    <t>Description</t>
  </si>
  <si>
    <t>Queue_Length</t>
  </si>
  <si>
    <t>Integer</t>
  </si>
  <si>
    <t>Number of packages waiting for inspection</t>
  </si>
  <si>
    <t>Sorting_Queue</t>
  </si>
  <si>
    <t>Packages waiting for sorting machine</t>
  </si>
  <si>
    <t>Inspector_Status</t>
  </si>
  <si>
    <t>Binary</t>
  </si>
  <si>
    <t>0 = Idle,  1 = Busy</t>
  </si>
  <si>
    <t>Machine_Status</t>
  </si>
  <si>
    <t>Enum</t>
  </si>
  <si>
    <t>Working / Broken / Idle</t>
  </si>
  <si>
    <t>Express_Queue</t>
  </si>
  <si>
    <t>Number of express packages waiting</t>
  </si>
  <si>
    <t>Standard_Queue</t>
  </si>
  <si>
    <t>Number of standard packages waiting</t>
  </si>
  <si>
    <t>Simulation_Clock</t>
  </si>
  <si>
    <t>Float</t>
  </si>
  <si>
    <t>Current simulation time in minutes</t>
  </si>
  <si>
    <t>Event Definition Table (Phase II)</t>
  </si>
  <si>
    <t>Event Name</t>
  </si>
  <si>
    <t>Trigger Condition</t>
  </si>
  <si>
    <t>System Effect</t>
  </si>
  <si>
    <t>Package Arrival</t>
  </si>
  <si>
    <t>Clock = next arrival time</t>
  </si>
  <si>
    <t>Increment queue, schedule Inspection Start</t>
  </si>
  <si>
    <t>Inspection Start</t>
  </si>
  <si>
    <t>Inspector idle &amp; queue &gt; 0</t>
  </si>
  <si>
    <t>Set Inspector_Status = Busy</t>
  </si>
  <si>
    <t>Inspection End</t>
  </si>
  <si>
    <t>Clock = Start + service time</t>
  </si>
  <si>
    <t>Free inspector, move to sorting queue</t>
  </si>
  <si>
    <t>Sorting Start</t>
  </si>
  <si>
    <t>Sorter idle &amp; sorting queue &gt; 0</t>
  </si>
  <si>
    <t>Set Machine_Status = Working</t>
  </si>
  <si>
    <t>Sorting End</t>
  </si>
  <si>
    <t>Free sorter, move to loading queue</t>
  </si>
  <si>
    <t>Machine Breakdown</t>
  </si>
  <si>
    <t>Random failure (Exponential)</t>
  </si>
  <si>
    <t>Set Machine_Status = Broken</t>
  </si>
  <si>
    <t>Machine Repair</t>
  </si>
  <si>
    <t>Clock = Breakdown + repair time</t>
  </si>
  <si>
    <t>Truck Loading End</t>
  </si>
  <si>
    <t>Clock = Load_Start + load time</t>
  </si>
  <si>
    <t>Package dispatched, leaves system</t>
  </si>
  <si>
    <t>30 Replication Results – Design A (1 Inspector) (Phase III/IV)</t>
  </si>
  <si>
    <t>Replication</t>
  </si>
  <si>
    <t>Avg System Time (min)</t>
  </si>
  <si>
    <t>Avg Wait Time (min)</t>
  </si>
  <si>
    <t>Avg Queue Length</t>
  </si>
  <si>
    <t>Throughput (pkgs)</t>
  </si>
  <si>
    <t>AVERAGE</t>
  </si>
  <si>
    <t>30 Replication Results – Design B (2 Inspectors) (Phase III/IV)</t>
  </si>
  <si>
    <t>95% Confidence Intervals – Design A vs Design B (Phase IV)</t>
  </si>
  <si>
    <t>Design A Mean</t>
  </si>
  <si>
    <t>A CI Low</t>
  </si>
  <si>
    <t>A CI High</t>
  </si>
  <si>
    <t>Design B Mean</t>
  </si>
  <si>
    <t>B CI Low</t>
  </si>
  <si>
    <t>B CI High</t>
  </si>
  <si>
    <t>Avg Queue Length (pkgs)</t>
  </si>
  <si>
    <t>Throughput (pkgs/shift)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</si>
</sst>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1"/>
      <color rgb="FF2E75B6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1F3864"/>
      <name val="Arial"/>
    </font>
    <font>
      <b/>
      <sz val="10"/>
      <color rgb="FF1F3864"/>
      <name val="Arial"/>
    </font>
    <font>
      <b/>
      <sz val="10"/>
      <color rgb="FF8B6000"/>
      <name val="Arial"/>
    </font>
    <font>
      <b/>
      <sz val="10"/>
      <color rgb="FF375623"/>
      <name val="Arial"/>
    </font>
    <font>
      <b/>
      <sz val="11"/>
      <color rgb="FF2E75B6"/>
      <name val="Arial"/>
    </font>
    <font>
      <b/>
      <sz val="10"/>
      <color rgb="FFCC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E2EFDA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workbookViewId="0">
      <selection activeCell="C5" sqref="C5"/>
    </sheetView>
  </sheetViews>
  <sheetFormatPr defaultRowHeight="14.4" x14ac:dyDescent="0.3"/>
  <cols>
    <col min="1" max="1" width="5" customWidth="1"/>
    <col min="2" max="2" width="32" customWidth="1"/>
    <col min="3" max="3" width="55" customWidth="1"/>
    <col min="4" max="4" width="14" customWidth="1"/>
  </cols>
  <sheetData>
    <row r="1" spans="2:4" ht="36" customHeight="1" x14ac:dyDescent="0.3">
      <c r="B1" s="20" t="s">
        <v>0</v>
      </c>
      <c r="C1" s="21"/>
      <c r="D1" s="21"/>
    </row>
    <row r="2" spans="2:4" ht="22.05" customHeight="1" x14ac:dyDescent="0.3">
      <c r="B2" s="22" t="s">
        <v>1</v>
      </c>
      <c r="C2" s="21"/>
      <c r="D2" s="21"/>
    </row>
    <row r="4" spans="2:4" x14ac:dyDescent="0.3">
      <c r="B4" s="1" t="s">
        <v>2</v>
      </c>
      <c r="C4" s="1" t="s">
        <v>3</v>
      </c>
      <c r="D4" s="1" t="s">
        <v>4</v>
      </c>
    </row>
    <row r="5" spans="2:4" ht="18" customHeight="1" x14ac:dyDescent="0.3">
      <c r="B5" s="2" t="s">
        <v>5</v>
      </c>
      <c r="C5" s="3" t="s">
        <v>6</v>
      </c>
      <c r="D5" s="4" t="s">
        <v>7</v>
      </c>
    </row>
    <row r="6" spans="2:4" ht="18" customHeight="1" x14ac:dyDescent="0.3">
      <c r="B6" s="5" t="s">
        <v>8</v>
      </c>
      <c r="C6" s="6" t="s">
        <v>9</v>
      </c>
      <c r="D6" s="7" t="s">
        <v>7</v>
      </c>
    </row>
    <row r="7" spans="2:4" ht="18" customHeight="1" x14ac:dyDescent="0.3">
      <c r="B7" s="2" t="s">
        <v>10</v>
      </c>
      <c r="C7" s="3" t="s">
        <v>11</v>
      </c>
      <c r="D7" s="4" t="s">
        <v>7</v>
      </c>
    </row>
    <row r="8" spans="2:4" ht="18" customHeight="1" x14ac:dyDescent="0.3">
      <c r="B8" s="5" t="s">
        <v>12</v>
      </c>
      <c r="C8" s="6" t="s">
        <v>13</v>
      </c>
      <c r="D8" s="7" t="s">
        <v>7</v>
      </c>
    </row>
    <row r="9" spans="2:4" ht="18" customHeight="1" x14ac:dyDescent="0.3">
      <c r="B9" s="2" t="s">
        <v>14</v>
      </c>
      <c r="C9" s="3" t="s">
        <v>15</v>
      </c>
      <c r="D9" s="4" t="s">
        <v>16</v>
      </c>
    </row>
    <row r="10" spans="2:4" ht="18" customHeight="1" x14ac:dyDescent="0.3">
      <c r="B10" s="5" t="s">
        <v>17</v>
      </c>
      <c r="C10" s="6" t="s">
        <v>18</v>
      </c>
      <c r="D10" s="7" t="s">
        <v>16</v>
      </c>
    </row>
    <row r="11" spans="2:4" ht="18" customHeight="1" x14ac:dyDescent="0.3">
      <c r="B11" s="2" t="s">
        <v>19</v>
      </c>
      <c r="C11" s="3" t="s">
        <v>20</v>
      </c>
      <c r="D11" s="4" t="s">
        <v>16</v>
      </c>
    </row>
    <row r="12" spans="2:4" ht="18" customHeight="1" x14ac:dyDescent="0.3">
      <c r="B12" s="5" t="s">
        <v>21</v>
      </c>
      <c r="C12" s="6" t="s">
        <v>22</v>
      </c>
      <c r="D12" s="7" t="s">
        <v>23</v>
      </c>
    </row>
    <row r="13" spans="2:4" ht="18" customHeight="1" x14ac:dyDescent="0.3">
      <c r="B13" s="2" t="s">
        <v>24</v>
      </c>
      <c r="C13" s="3" t="s">
        <v>25</v>
      </c>
      <c r="D13" s="4" t="s">
        <v>23</v>
      </c>
    </row>
    <row r="14" spans="2:4" ht="18" customHeight="1" x14ac:dyDescent="0.3">
      <c r="B14" s="5" t="s">
        <v>26</v>
      </c>
      <c r="C14" s="6" t="s">
        <v>27</v>
      </c>
      <c r="D14" s="7" t="s">
        <v>28</v>
      </c>
    </row>
  </sheetData>
  <mergeCells count="2"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tabSelected="1" workbookViewId="0">
      <selection sqref="A1:G1"/>
    </sheetView>
  </sheetViews>
  <sheetFormatPr defaultRowHeight="14.4" x14ac:dyDescent="0.3"/>
  <cols>
    <col min="1" max="1" width="8" customWidth="1"/>
    <col min="2" max="2" width="13" customWidth="1"/>
    <col min="3" max="4" width="18" customWidth="1"/>
    <col min="5" max="7" width="16" customWidth="1"/>
  </cols>
  <sheetData>
    <row r="1" spans="1:7" ht="28.05" customHeight="1" x14ac:dyDescent="0.3">
      <c r="A1" s="24" t="s">
        <v>29</v>
      </c>
      <c r="B1" s="21"/>
      <c r="C1" s="21"/>
      <c r="D1" s="21"/>
      <c r="E1" s="21"/>
      <c r="F1" s="21"/>
      <c r="G1" s="21"/>
    </row>
    <row r="2" spans="1:7" ht="22.05" customHeight="1" x14ac:dyDescent="0.3">
      <c r="A2" s="8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</row>
    <row r="3" spans="1:7" x14ac:dyDescent="0.3">
      <c r="A3" s="7">
        <v>1</v>
      </c>
      <c r="B3" s="9" t="s">
        <v>37</v>
      </c>
      <c r="C3" s="7">
        <v>1.4077999999999999</v>
      </c>
      <c r="D3" s="7">
        <v>3.2947000000000002</v>
      </c>
      <c r="E3" s="7">
        <v>1.4330000000000001</v>
      </c>
      <c r="F3" s="7">
        <v>2.9809999999999999</v>
      </c>
      <c r="G3" s="7">
        <v>1.4077999999999999</v>
      </c>
    </row>
    <row r="4" spans="1:7" x14ac:dyDescent="0.3">
      <c r="A4" s="4">
        <v>2</v>
      </c>
      <c r="B4" s="10" t="s">
        <v>37</v>
      </c>
      <c r="C4" s="4">
        <v>9.0304000000000002</v>
      </c>
      <c r="D4" s="4">
        <v>4.5285000000000002</v>
      </c>
      <c r="E4" s="4">
        <v>1.7141999999999999</v>
      </c>
      <c r="F4" s="4">
        <v>1.8251999999999999</v>
      </c>
      <c r="G4" s="4">
        <v>10.4382</v>
      </c>
    </row>
    <row r="5" spans="1:7" x14ac:dyDescent="0.3">
      <c r="A5" s="7">
        <v>3</v>
      </c>
      <c r="B5" s="9" t="s">
        <v>37</v>
      </c>
      <c r="C5" s="7">
        <v>3.9502000000000002</v>
      </c>
      <c r="D5" s="7">
        <v>0.76549999999999996</v>
      </c>
      <c r="E5" s="7">
        <v>1.6419999999999999</v>
      </c>
      <c r="F5" s="7">
        <v>1.744</v>
      </c>
      <c r="G5" s="7">
        <v>14.388400000000001</v>
      </c>
    </row>
    <row r="6" spans="1:7" x14ac:dyDescent="0.3">
      <c r="A6" s="4">
        <v>4</v>
      </c>
      <c r="B6" s="10" t="s">
        <v>37</v>
      </c>
      <c r="C6" s="4">
        <v>2.7387999999999999</v>
      </c>
      <c r="D6" s="4">
        <v>0.23319999999999999</v>
      </c>
      <c r="E6" s="4">
        <v>1.4782</v>
      </c>
      <c r="F6" s="4">
        <v>2.5528</v>
      </c>
      <c r="G6" s="4">
        <v>17.127199999999998</v>
      </c>
    </row>
    <row r="7" spans="1:7" x14ac:dyDescent="0.3">
      <c r="A7" s="7">
        <v>5</v>
      </c>
      <c r="B7" s="11" t="s">
        <v>38</v>
      </c>
      <c r="C7" s="7">
        <v>0.50890000000000002</v>
      </c>
      <c r="D7" s="7">
        <v>0.51739999999999997</v>
      </c>
      <c r="E7" s="7">
        <v>1.246</v>
      </c>
      <c r="F7" s="7">
        <v>1.6816</v>
      </c>
      <c r="G7" s="7">
        <v>17.636099999999999</v>
      </c>
    </row>
    <row r="8" spans="1:7" x14ac:dyDescent="0.3">
      <c r="A8" s="4">
        <v>6</v>
      </c>
      <c r="B8" s="11" t="s">
        <v>38</v>
      </c>
      <c r="C8" s="4">
        <v>0.50880000000000003</v>
      </c>
      <c r="D8" s="4">
        <v>1.1141000000000001</v>
      </c>
      <c r="E8" s="4">
        <v>1.0455000000000001</v>
      </c>
      <c r="F8" s="4">
        <v>2.8614999999999999</v>
      </c>
      <c r="G8" s="4">
        <v>18.1449</v>
      </c>
    </row>
    <row r="9" spans="1:7" x14ac:dyDescent="0.3">
      <c r="A9" s="7">
        <v>7</v>
      </c>
      <c r="B9" s="9" t="s">
        <v>37</v>
      </c>
      <c r="C9" s="7">
        <v>0.17949999999999999</v>
      </c>
      <c r="D9" s="7">
        <v>3.4077000000000002</v>
      </c>
      <c r="E9" s="7">
        <v>1.3660000000000001</v>
      </c>
      <c r="F9" s="7">
        <v>2.7168000000000001</v>
      </c>
      <c r="G9" s="7">
        <v>18.324400000000001</v>
      </c>
    </row>
    <row r="10" spans="1:7" x14ac:dyDescent="0.3">
      <c r="A10" s="4">
        <v>8</v>
      </c>
      <c r="B10" s="10" t="s">
        <v>37</v>
      </c>
      <c r="C10" s="4">
        <v>6.0336999999999996</v>
      </c>
      <c r="D10" s="4">
        <v>3.9426999999999999</v>
      </c>
      <c r="E10" s="4">
        <v>1.7568999999999999</v>
      </c>
      <c r="F10" s="4">
        <v>1.8580000000000001</v>
      </c>
      <c r="G10" s="4">
        <v>24.3581</v>
      </c>
    </row>
    <row r="11" spans="1:7" x14ac:dyDescent="0.3">
      <c r="A11" s="7">
        <v>9</v>
      </c>
      <c r="B11" s="9" t="s">
        <v>37</v>
      </c>
      <c r="C11" s="7">
        <v>2.7572000000000001</v>
      </c>
      <c r="D11" s="7">
        <v>1.4E-2</v>
      </c>
      <c r="E11" s="7">
        <v>1.5642</v>
      </c>
      <c r="F11" s="7">
        <v>2.5017</v>
      </c>
      <c r="G11" s="7">
        <v>27.115300000000001</v>
      </c>
    </row>
    <row r="12" spans="1:7" x14ac:dyDescent="0.3">
      <c r="A12" s="4">
        <v>10</v>
      </c>
      <c r="B12" s="11" t="s">
        <v>38</v>
      </c>
      <c r="C12" s="4">
        <v>3.6938</v>
      </c>
      <c r="D12" s="4">
        <v>1.4298</v>
      </c>
      <c r="E12" s="4">
        <v>1.1263000000000001</v>
      </c>
      <c r="F12" s="4">
        <v>2.5091000000000001</v>
      </c>
      <c r="G12" s="4">
        <v>30.809100000000001</v>
      </c>
    </row>
    <row r="13" spans="1:7" x14ac:dyDescent="0.3">
      <c r="A13" s="7">
        <v>11</v>
      </c>
      <c r="B13" s="9" t="s">
        <v>37</v>
      </c>
      <c r="C13" s="7">
        <v>6.2399999999999997E-2</v>
      </c>
      <c r="D13" s="7">
        <v>1.0805</v>
      </c>
      <c r="E13" s="7">
        <v>1.552</v>
      </c>
      <c r="F13" s="7">
        <v>1.2061999999999999</v>
      </c>
      <c r="G13" s="7">
        <v>30.871500000000001</v>
      </c>
    </row>
    <row r="14" spans="1:7" x14ac:dyDescent="0.3">
      <c r="A14" s="4">
        <v>12</v>
      </c>
      <c r="B14" s="10" t="s">
        <v>37</v>
      </c>
      <c r="C14" s="4">
        <v>10.5107</v>
      </c>
      <c r="D14" s="4">
        <v>0.50229999999999997</v>
      </c>
      <c r="E14" s="4">
        <v>1.6155999999999999</v>
      </c>
      <c r="F14" s="4">
        <v>2.8050999999999999</v>
      </c>
      <c r="G14" s="4">
        <v>41.382199999999997</v>
      </c>
    </row>
    <row r="15" spans="1:7" x14ac:dyDescent="0.3">
      <c r="A15" s="7">
        <v>13</v>
      </c>
      <c r="B15" s="9" t="s">
        <v>37</v>
      </c>
      <c r="C15" s="7">
        <v>5.3593000000000002</v>
      </c>
      <c r="D15" s="7">
        <v>0.25540000000000002</v>
      </c>
      <c r="E15" s="7">
        <v>1.2347999999999999</v>
      </c>
      <c r="F15" s="7">
        <v>2.0105</v>
      </c>
      <c r="G15" s="7">
        <v>46.741500000000002</v>
      </c>
    </row>
    <row r="16" spans="1:7" x14ac:dyDescent="0.3">
      <c r="A16" s="4">
        <v>14</v>
      </c>
      <c r="B16" s="10" t="s">
        <v>37</v>
      </c>
      <c r="C16" s="4">
        <v>0.71609999999999996</v>
      </c>
      <c r="D16" s="4">
        <v>0.82379999999999998</v>
      </c>
      <c r="E16" s="4">
        <v>1.5461</v>
      </c>
      <c r="F16" s="4">
        <v>2.6528999999999998</v>
      </c>
      <c r="G16" s="4">
        <v>47.457599999999999</v>
      </c>
    </row>
    <row r="17" spans="1:7" x14ac:dyDescent="0.3">
      <c r="A17" s="7">
        <v>15</v>
      </c>
      <c r="B17" s="9" t="s">
        <v>37</v>
      </c>
      <c r="C17" s="7">
        <v>0.60199999999999998</v>
      </c>
      <c r="D17" s="7">
        <v>5.7262000000000004</v>
      </c>
      <c r="E17" s="7">
        <v>1.5175000000000001</v>
      </c>
      <c r="F17" s="7">
        <v>1.6400999999999999</v>
      </c>
      <c r="G17" s="7">
        <v>48.059600000000003</v>
      </c>
    </row>
    <row r="18" spans="1:7" x14ac:dyDescent="0.3">
      <c r="A18" s="4">
        <v>16</v>
      </c>
      <c r="B18" s="10" t="s">
        <v>37</v>
      </c>
      <c r="C18" s="4">
        <v>0.60780000000000001</v>
      </c>
      <c r="D18" s="4">
        <v>0.78080000000000005</v>
      </c>
      <c r="E18" s="4">
        <v>1.1571</v>
      </c>
      <c r="F18" s="4">
        <v>2.7909999999999999</v>
      </c>
      <c r="G18" s="4">
        <v>48.667400000000001</v>
      </c>
    </row>
    <row r="19" spans="1:7" x14ac:dyDescent="0.3">
      <c r="A19" s="7">
        <v>17</v>
      </c>
      <c r="B19" s="9" t="s">
        <v>37</v>
      </c>
      <c r="C19" s="7">
        <v>1.0883</v>
      </c>
      <c r="D19" s="7">
        <v>1.4629000000000001</v>
      </c>
      <c r="E19" s="7">
        <v>1.6073</v>
      </c>
      <c r="F19" s="7">
        <v>1.7784</v>
      </c>
      <c r="G19" s="7">
        <v>49.755699999999997</v>
      </c>
    </row>
    <row r="20" spans="1:7" x14ac:dyDescent="0.3">
      <c r="A20" s="4">
        <v>18</v>
      </c>
      <c r="B20" s="11" t="s">
        <v>38</v>
      </c>
      <c r="C20" s="4">
        <v>2.2317999999999998</v>
      </c>
      <c r="D20" s="4">
        <v>2.4281999999999999</v>
      </c>
      <c r="E20" s="4">
        <v>1.6681999999999999</v>
      </c>
      <c r="F20" s="4">
        <v>1.0217000000000001</v>
      </c>
      <c r="G20" s="4">
        <v>51.987499999999997</v>
      </c>
    </row>
    <row r="21" spans="1:7" x14ac:dyDescent="0.3">
      <c r="A21" s="7">
        <v>19</v>
      </c>
      <c r="B21" s="11" t="s">
        <v>38</v>
      </c>
      <c r="C21" s="7">
        <v>1.6966000000000001</v>
      </c>
      <c r="D21" s="7">
        <v>0.90390000000000004</v>
      </c>
      <c r="E21" s="7">
        <v>1.8249</v>
      </c>
      <c r="F21" s="7">
        <v>2.8108</v>
      </c>
      <c r="G21" s="7">
        <v>53.684100000000001</v>
      </c>
    </row>
    <row r="22" spans="1:7" x14ac:dyDescent="0.3">
      <c r="A22" s="4">
        <v>20</v>
      </c>
      <c r="B22" s="10" t="s">
        <v>37</v>
      </c>
      <c r="C22" s="4">
        <v>1.0327</v>
      </c>
      <c r="D22" s="4">
        <v>7.1356000000000002</v>
      </c>
      <c r="E22" s="4">
        <v>1.8161</v>
      </c>
      <c r="F22" s="4">
        <v>1.1826000000000001</v>
      </c>
      <c r="G22" s="4">
        <v>54.716799999999999</v>
      </c>
    </row>
    <row r="23" spans="1:7" x14ac:dyDescent="0.3">
      <c r="A23" s="7">
        <v>21</v>
      </c>
      <c r="B23" s="9" t="s">
        <v>37</v>
      </c>
      <c r="C23" s="7">
        <v>2.8391000000000002</v>
      </c>
      <c r="D23" s="7">
        <v>6.5640000000000001</v>
      </c>
      <c r="E23" s="7">
        <v>1.0867</v>
      </c>
      <c r="F23" s="7">
        <v>1.6386000000000001</v>
      </c>
      <c r="G23" s="7">
        <v>57.555900000000001</v>
      </c>
    </row>
    <row r="24" spans="1:7" x14ac:dyDescent="0.3">
      <c r="A24" s="4">
        <v>22</v>
      </c>
      <c r="B24" s="10" t="s">
        <v>37</v>
      </c>
      <c r="C24" s="4">
        <v>0.45069999999999999</v>
      </c>
      <c r="D24" s="4">
        <v>0.58009999999999995</v>
      </c>
      <c r="E24" s="4">
        <v>1.2186999999999999</v>
      </c>
      <c r="F24" s="4">
        <v>2.9001000000000001</v>
      </c>
      <c r="G24" s="4">
        <v>58.006599999999999</v>
      </c>
    </row>
    <row r="25" spans="1:7" x14ac:dyDescent="0.3">
      <c r="A25" s="7">
        <v>23</v>
      </c>
      <c r="B25" s="9" t="s">
        <v>37</v>
      </c>
      <c r="C25" s="7">
        <v>1.0365</v>
      </c>
      <c r="D25" s="7">
        <v>1.3753</v>
      </c>
      <c r="E25" s="7">
        <v>1.6545000000000001</v>
      </c>
      <c r="F25" s="7">
        <v>2.9011999999999998</v>
      </c>
      <c r="G25" s="7">
        <v>59.043100000000003</v>
      </c>
    </row>
    <row r="26" spans="1:7" x14ac:dyDescent="0.3">
      <c r="A26" s="4">
        <v>24</v>
      </c>
      <c r="B26" s="10" t="s">
        <v>37</v>
      </c>
      <c r="C26" s="4">
        <v>1.3688</v>
      </c>
      <c r="D26" s="4">
        <v>0.71589999999999998</v>
      </c>
      <c r="E26" s="4">
        <v>1.6540999999999999</v>
      </c>
      <c r="F26" s="4">
        <v>2.1469</v>
      </c>
      <c r="G26" s="4">
        <v>60.411900000000003</v>
      </c>
    </row>
    <row r="27" spans="1:7" x14ac:dyDescent="0.3">
      <c r="A27" s="7">
        <v>25</v>
      </c>
      <c r="B27" s="9" t="s">
        <v>37</v>
      </c>
      <c r="C27" s="7">
        <v>1.8268</v>
      </c>
      <c r="D27" s="7">
        <v>0.67049999999999998</v>
      </c>
      <c r="E27" s="7">
        <v>1.6545000000000001</v>
      </c>
      <c r="F27" s="7">
        <v>2.2637</v>
      </c>
      <c r="G27" s="7">
        <v>62.238700000000001</v>
      </c>
    </row>
    <row r="28" spans="1:7" x14ac:dyDescent="0.3">
      <c r="A28" s="4">
        <v>26</v>
      </c>
      <c r="B28" s="10" t="s">
        <v>37</v>
      </c>
      <c r="C28" s="4">
        <v>4.6138000000000003</v>
      </c>
      <c r="D28" s="4">
        <v>7.5200000000000003E-2</v>
      </c>
      <c r="E28" s="4">
        <v>2.6558000000000002</v>
      </c>
      <c r="F28" s="4">
        <v>1.8969</v>
      </c>
      <c r="G28" s="4">
        <v>66.852500000000006</v>
      </c>
    </row>
    <row r="29" spans="1:7" x14ac:dyDescent="0.3">
      <c r="A29" s="7">
        <v>27</v>
      </c>
      <c r="B29" s="9" t="s">
        <v>37</v>
      </c>
      <c r="C29" s="7">
        <v>0.66820000000000002</v>
      </c>
      <c r="D29" s="7">
        <v>1.881</v>
      </c>
      <c r="E29" s="7">
        <v>1.6713</v>
      </c>
      <c r="F29" s="7">
        <v>1.5864</v>
      </c>
      <c r="G29" s="7">
        <v>67.520700000000005</v>
      </c>
    </row>
    <row r="30" spans="1:7" x14ac:dyDescent="0.3">
      <c r="A30" s="4">
        <v>28</v>
      </c>
      <c r="B30" s="11" t="s">
        <v>38</v>
      </c>
      <c r="C30" s="4">
        <v>2.1661000000000001</v>
      </c>
      <c r="D30" s="4">
        <v>1.397</v>
      </c>
      <c r="E30" s="4">
        <v>1.8407</v>
      </c>
      <c r="F30" s="4">
        <v>1.6573</v>
      </c>
      <c r="G30" s="4">
        <v>69.686800000000005</v>
      </c>
    </row>
    <row r="31" spans="1:7" x14ac:dyDescent="0.3">
      <c r="A31" s="7">
        <v>29</v>
      </c>
      <c r="B31" s="9" t="s">
        <v>37</v>
      </c>
      <c r="C31" s="7">
        <v>2.6924999999999999</v>
      </c>
      <c r="D31" s="7">
        <v>0.1057</v>
      </c>
      <c r="E31" s="7">
        <v>1.7862</v>
      </c>
      <c r="F31" s="7">
        <v>2.3450000000000002</v>
      </c>
      <c r="G31" s="7">
        <v>72.379300000000001</v>
      </c>
    </row>
    <row r="32" spans="1:7" x14ac:dyDescent="0.3">
      <c r="A32" s="4">
        <v>30</v>
      </c>
      <c r="B32" s="11" t="s">
        <v>38</v>
      </c>
      <c r="C32" s="4">
        <v>0.14269999999999999</v>
      </c>
      <c r="D32" s="4">
        <v>0.65329999999999999</v>
      </c>
      <c r="E32" s="4">
        <v>1.6954</v>
      </c>
      <c r="F32" s="4">
        <v>2.5047000000000001</v>
      </c>
      <c r="G32" s="4">
        <v>72.522000000000006</v>
      </c>
    </row>
    <row r="33" spans="1:7" x14ac:dyDescent="0.3">
      <c r="A33" s="7">
        <v>31</v>
      </c>
      <c r="B33" s="9" t="s">
        <v>37</v>
      </c>
      <c r="C33" s="7">
        <v>2.806</v>
      </c>
      <c r="D33" s="7">
        <v>4.7777000000000003</v>
      </c>
      <c r="E33" s="7">
        <v>1.4054</v>
      </c>
      <c r="F33" s="7">
        <v>2.5832000000000002</v>
      </c>
      <c r="G33" s="7">
        <v>75.328000000000003</v>
      </c>
    </row>
    <row r="34" spans="1:7" x14ac:dyDescent="0.3">
      <c r="A34" s="4">
        <v>32</v>
      </c>
      <c r="B34" s="10" t="s">
        <v>37</v>
      </c>
      <c r="C34" s="4">
        <v>0.56089999999999995</v>
      </c>
      <c r="D34" s="4">
        <v>0.54769999999999996</v>
      </c>
      <c r="E34" s="4">
        <v>1.7277</v>
      </c>
      <c r="F34" s="4">
        <v>2.5792000000000002</v>
      </c>
      <c r="G34" s="4">
        <v>75.888900000000007</v>
      </c>
    </row>
    <row r="35" spans="1:7" x14ac:dyDescent="0.3">
      <c r="A35" s="7">
        <v>33</v>
      </c>
      <c r="B35" s="11" t="s">
        <v>38</v>
      </c>
      <c r="C35" s="7">
        <v>0.20180000000000001</v>
      </c>
      <c r="D35" s="7">
        <v>0.31309999999999999</v>
      </c>
      <c r="E35" s="7">
        <v>1.2682</v>
      </c>
      <c r="F35" s="7">
        <v>1.1823999999999999</v>
      </c>
      <c r="G35" s="7">
        <v>76.090699999999998</v>
      </c>
    </row>
    <row r="36" spans="1:7" x14ac:dyDescent="0.3">
      <c r="A36" s="4">
        <v>34</v>
      </c>
      <c r="B36" s="10" t="s">
        <v>37</v>
      </c>
      <c r="C36" s="4">
        <v>8.9210999999999991</v>
      </c>
      <c r="D36" s="4">
        <v>1.3445</v>
      </c>
      <c r="E36" s="4">
        <v>1.429</v>
      </c>
      <c r="F36" s="4">
        <v>1.9887999999999999</v>
      </c>
      <c r="G36" s="4">
        <v>85.011799999999994</v>
      </c>
    </row>
    <row r="37" spans="1:7" x14ac:dyDescent="0.3">
      <c r="A37" s="7">
        <v>35</v>
      </c>
      <c r="B37" s="9" t="s">
        <v>37</v>
      </c>
      <c r="C37" s="7">
        <v>10.1119</v>
      </c>
      <c r="D37" s="7">
        <v>8.4880999999999993</v>
      </c>
      <c r="E37" s="7">
        <v>1.3544</v>
      </c>
      <c r="F37" s="7">
        <v>1.1151</v>
      </c>
      <c r="G37" s="7">
        <v>95.123699999999999</v>
      </c>
    </row>
    <row r="38" spans="1:7" x14ac:dyDescent="0.3">
      <c r="A38" s="4">
        <v>36</v>
      </c>
      <c r="B38" s="10" t="s">
        <v>37</v>
      </c>
      <c r="C38" s="4">
        <v>4.9569999999999999</v>
      </c>
      <c r="D38" s="4">
        <v>0.55430000000000001</v>
      </c>
      <c r="E38" s="4">
        <v>1.5246</v>
      </c>
      <c r="F38" s="4">
        <v>2.0991</v>
      </c>
      <c r="G38" s="4">
        <v>100.08069999999999</v>
      </c>
    </row>
    <row r="39" spans="1:7" x14ac:dyDescent="0.3">
      <c r="A39" s="7">
        <v>37</v>
      </c>
      <c r="B39" s="11" t="s">
        <v>38</v>
      </c>
      <c r="C39" s="7">
        <v>1.0899000000000001</v>
      </c>
      <c r="D39" s="7">
        <v>2.2303000000000002</v>
      </c>
      <c r="E39" s="7">
        <v>2.1943999999999999</v>
      </c>
      <c r="F39" s="7">
        <v>1.8831</v>
      </c>
      <c r="G39" s="7">
        <v>101.17059999999999</v>
      </c>
    </row>
    <row r="40" spans="1:7" x14ac:dyDescent="0.3">
      <c r="A40" s="4">
        <v>38</v>
      </c>
      <c r="B40" s="10" t="s">
        <v>37</v>
      </c>
      <c r="C40" s="4">
        <v>0.30830000000000002</v>
      </c>
      <c r="D40" s="4">
        <v>2.8677999999999999</v>
      </c>
      <c r="E40" s="4">
        <v>0.93979999999999997</v>
      </c>
      <c r="F40" s="4">
        <v>2.7753999999999999</v>
      </c>
      <c r="G40" s="4">
        <v>101.4789</v>
      </c>
    </row>
    <row r="41" spans="1:7" x14ac:dyDescent="0.3">
      <c r="A41" s="7">
        <v>39</v>
      </c>
      <c r="B41" s="9" t="s">
        <v>37</v>
      </c>
      <c r="C41" s="7">
        <v>3.4582999999999999</v>
      </c>
      <c r="D41" s="7">
        <v>0.54269999999999996</v>
      </c>
      <c r="E41" s="7">
        <v>1.7059</v>
      </c>
      <c r="F41" s="7">
        <v>1.7018</v>
      </c>
      <c r="G41" s="7">
        <v>104.9372</v>
      </c>
    </row>
    <row r="42" spans="1:7" x14ac:dyDescent="0.3">
      <c r="A42" s="4">
        <v>40</v>
      </c>
      <c r="B42" s="10" t="s">
        <v>37</v>
      </c>
      <c r="C42" s="4">
        <v>1.7403</v>
      </c>
      <c r="D42" s="4">
        <v>2.6055000000000001</v>
      </c>
      <c r="E42" s="4">
        <v>1.0162</v>
      </c>
      <c r="F42" s="4">
        <v>1.2341</v>
      </c>
      <c r="G42" s="4">
        <v>106.67749999999999</v>
      </c>
    </row>
    <row r="43" spans="1:7" x14ac:dyDescent="0.3">
      <c r="A43" s="7">
        <v>41</v>
      </c>
      <c r="B43" s="9" t="s">
        <v>37</v>
      </c>
      <c r="C43" s="7">
        <v>0.39050000000000001</v>
      </c>
      <c r="D43" s="7">
        <v>0.91700000000000004</v>
      </c>
      <c r="E43" s="7">
        <v>1.3584000000000001</v>
      </c>
      <c r="F43" s="7">
        <v>1.286</v>
      </c>
      <c r="G43" s="7">
        <v>107.068</v>
      </c>
    </row>
    <row r="44" spans="1:7" x14ac:dyDescent="0.3">
      <c r="A44" s="4">
        <v>42</v>
      </c>
      <c r="B44" s="10" t="s">
        <v>37</v>
      </c>
      <c r="C44" s="4">
        <v>2.0506000000000002</v>
      </c>
      <c r="D44" s="4">
        <v>2.0009999999999999</v>
      </c>
      <c r="E44" s="4">
        <v>1.8267</v>
      </c>
      <c r="F44" s="4">
        <v>2.5230000000000001</v>
      </c>
      <c r="G44" s="4">
        <v>109.1186</v>
      </c>
    </row>
    <row r="45" spans="1:7" x14ac:dyDescent="0.3">
      <c r="A45" s="7">
        <v>43</v>
      </c>
      <c r="B45" s="9" t="s">
        <v>37</v>
      </c>
      <c r="C45" s="7">
        <v>0.105</v>
      </c>
      <c r="D45" s="7">
        <v>2.0076999999999998</v>
      </c>
      <c r="E45" s="7">
        <v>1.5193000000000001</v>
      </c>
      <c r="F45" s="7">
        <v>2.2364000000000002</v>
      </c>
      <c r="G45" s="7">
        <v>109.2236</v>
      </c>
    </row>
    <row r="46" spans="1:7" x14ac:dyDescent="0.3">
      <c r="A46" s="4">
        <v>44</v>
      </c>
      <c r="B46" s="10" t="s">
        <v>37</v>
      </c>
      <c r="C46" s="4">
        <v>7.2012999999999998</v>
      </c>
      <c r="D46" s="4">
        <v>1.5347999999999999</v>
      </c>
      <c r="E46" s="4">
        <v>1.1767000000000001</v>
      </c>
      <c r="F46" s="4">
        <v>1.2021999999999999</v>
      </c>
      <c r="G46" s="4">
        <v>116.42489999999999</v>
      </c>
    </row>
    <row r="47" spans="1:7" x14ac:dyDescent="0.3">
      <c r="A47" s="7">
        <v>45</v>
      </c>
      <c r="B47" s="9" t="s">
        <v>37</v>
      </c>
      <c r="C47" s="7">
        <v>0.89839999999999998</v>
      </c>
      <c r="D47" s="7">
        <v>0.1893</v>
      </c>
      <c r="E47" s="7">
        <v>1.2854000000000001</v>
      </c>
      <c r="F47" s="7">
        <v>1.1681999999999999</v>
      </c>
      <c r="G47" s="7">
        <v>117.3233</v>
      </c>
    </row>
    <row r="48" spans="1:7" x14ac:dyDescent="0.3">
      <c r="A48" s="4">
        <v>46</v>
      </c>
      <c r="B48" s="10" t="s">
        <v>37</v>
      </c>
      <c r="C48" s="4">
        <v>3.2587999999999999</v>
      </c>
      <c r="D48" s="4">
        <v>3.6073</v>
      </c>
      <c r="E48" s="4">
        <v>1.7039</v>
      </c>
      <c r="F48" s="4">
        <v>2.4018999999999999</v>
      </c>
      <c r="G48" s="4">
        <v>120.5821</v>
      </c>
    </row>
    <row r="49" spans="1:7" x14ac:dyDescent="0.3">
      <c r="A49" s="7">
        <v>47</v>
      </c>
      <c r="B49" s="11" t="s">
        <v>38</v>
      </c>
      <c r="C49" s="7">
        <v>1.1206</v>
      </c>
      <c r="D49" s="7">
        <v>0.77359999999999995</v>
      </c>
      <c r="E49" s="7">
        <v>1.2808999999999999</v>
      </c>
      <c r="F49" s="7">
        <v>1.1455</v>
      </c>
      <c r="G49" s="7">
        <v>121.70269999999999</v>
      </c>
    </row>
    <row r="50" spans="1:7" x14ac:dyDescent="0.3">
      <c r="A50" s="4">
        <v>48</v>
      </c>
      <c r="B50" s="11" t="s">
        <v>38</v>
      </c>
      <c r="C50" s="4">
        <v>2.2023000000000001</v>
      </c>
      <c r="D50" s="4">
        <v>0.41289999999999999</v>
      </c>
      <c r="E50" s="4">
        <v>1.5649</v>
      </c>
      <c r="F50" s="4">
        <v>2.6436999999999999</v>
      </c>
      <c r="G50" s="4">
        <v>123.905</v>
      </c>
    </row>
    <row r="51" spans="1:7" x14ac:dyDescent="0.3">
      <c r="A51" s="7">
        <v>49</v>
      </c>
      <c r="B51" s="9" t="s">
        <v>37</v>
      </c>
      <c r="C51" s="7">
        <v>2.3736999999999999</v>
      </c>
      <c r="D51" s="7">
        <v>8.3299999999999999E-2</v>
      </c>
      <c r="E51" s="7">
        <v>1.5137</v>
      </c>
      <c r="F51" s="7">
        <v>2.4125000000000001</v>
      </c>
      <c r="G51" s="7">
        <v>126.2787</v>
      </c>
    </row>
    <row r="52" spans="1:7" x14ac:dyDescent="0.3">
      <c r="A52" s="4">
        <v>50</v>
      </c>
      <c r="B52" s="10" t="s">
        <v>37</v>
      </c>
      <c r="C52" s="4">
        <v>0.61319999999999997</v>
      </c>
      <c r="D52" s="4">
        <v>1.7876000000000001</v>
      </c>
      <c r="E52" s="4">
        <v>1.3045</v>
      </c>
      <c r="F52" s="4">
        <v>1.1627000000000001</v>
      </c>
      <c r="G52" s="4">
        <v>126.89190000000001</v>
      </c>
    </row>
    <row r="53" spans="1:7" x14ac:dyDescent="0.3">
      <c r="A53" s="7">
        <v>51</v>
      </c>
      <c r="B53" s="9" t="s">
        <v>37</v>
      </c>
      <c r="C53" s="7">
        <v>10.478400000000001</v>
      </c>
      <c r="D53" s="7">
        <v>2.2637</v>
      </c>
      <c r="E53" s="7">
        <v>2.1432000000000002</v>
      </c>
      <c r="F53" s="7">
        <v>1.1697</v>
      </c>
      <c r="G53" s="7">
        <v>137.37029999999999</v>
      </c>
    </row>
    <row r="54" spans="1:7" x14ac:dyDescent="0.3">
      <c r="A54" s="4">
        <v>52</v>
      </c>
      <c r="B54" s="11" t="s">
        <v>38</v>
      </c>
      <c r="C54" s="4">
        <v>4.4767000000000001</v>
      </c>
      <c r="D54" s="4">
        <v>3.3500000000000002E-2</v>
      </c>
      <c r="E54" s="4">
        <v>1.6901999999999999</v>
      </c>
      <c r="F54" s="4">
        <v>2.9733000000000001</v>
      </c>
      <c r="G54" s="4">
        <v>141.84700000000001</v>
      </c>
    </row>
    <row r="55" spans="1:7" x14ac:dyDescent="0.3">
      <c r="A55" s="7">
        <v>53</v>
      </c>
      <c r="B55" s="11" t="s">
        <v>38</v>
      </c>
      <c r="C55" s="7">
        <v>8.4153000000000002</v>
      </c>
      <c r="D55" s="7">
        <v>1.4353</v>
      </c>
      <c r="E55" s="7">
        <v>0.89249999999999996</v>
      </c>
      <c r="F55" s="7">
        <v>1.7484999999999999</v>
      </c>
      <c r="G55" s="7">
        <v>150.26230000000001</v>
      </c>
    </row>
    <row r="56" spans="1:7" x14ac:dyDescent="0.3">
      <c r="A56" s="4">
        <v>54</v>
      </c>
      <c r="B56" s="11" t="s">
        <v>38</v>
      </c>
      <c r="C56" s="4">
        <v>6.7565</v>
      </c>
      <c r="D56" s="4">
        <v>0.51359999999999995</v>
      </c>
      <c r="E56" s="4">
        <v>1.5559000000000001</v>
      </c>
      <c r="F56" s="4">
        <v>1.7413000000000001</v>
      </c>
      <c r="G56" s="4">
        <v>157.0188</v>
      </c>
    </row>
    <row r="57" spans="1:7" x14ac:dyDescent="0.3">
      <c r="A57" s="7">
        <v>55</v>
      </c>
      <c r="B57" s="9" t="s">
        <v>37</v>
      </c>
      <c r="C57" s="7">
        <v>2.7332000000000001</v>
      </c>
      <c r="D57" s="7">
        <v>2.0722</v>
      </c>
      <c r="E57" s="7">
        <v>1.3015000000000001</v>
      </c>
      <c r="F57" s="7">
        <v>2.6255999999999999</v>
      </c>
      <c r="G57" s="7">
        <v>159.75200000000001</v>
      </c>
    </row>
    <row r="58" spans="1:7" x14ac:dyDescent="0.3">
      <c r="A58" s="4">
        <v>56</v>
      </c>
      <c r="B58" s="10" t="s">
        <v>37</v>
      </c>
      <c r="C58" s="4">
        <v>7.6482999999999999</v>
      </c>
      <c r="D58" s="4">
        <v>0.38319999999999999</v>
      </c>
      <c r="E58" s="4">
        <v>1.7557</v>
      </c>
      <c r="F58" s="4">
        <v>2.8944999999999999</v>
      </c>
      <c r="G58" s="4">
        <v>167.40029999999999</v>
      </c>
    </row>
    <row r="59" spans="1:7" x14ac:dyDescent="0.3">
      <c r="A59" s="7">
        <v>57</v>
      </c>
      <c r="B59" s="9" t="s">
        <v>37</v>
      </c>
      <c r="C59" s="7">
        <v>0.27800000000000002</v>
      </c>
      <c r="D59" s="7">
        <v>2.3483999999999998</v>
      </c>
      <c r="E59" s="7">
        <v>1.2622</v>
      </c>
      <c r="F59" s="7">
        <v>2.972</v>
      </c>
      <c r="G59" s="7">
        <v>167.67830000000001</v>
      </c>
    </row>
    <row r="60" spans="1:7" x14ac:dyDescent="0.3">
      <c r="A60" s="4">
        <v>58</v>
      </c>
      <c r="B60" s="10" t="s">
        <v>37</v>
      </c>
      <c r="C60" s="4">
        <v>0.65439999999999998</v>
      </c>
      <c r="D60" s="4">
        <v>0.97789999999999999</v>
      </c>
      <c r="E60" s="4">
        <v>1.4656</v>
      </c>
      <c r="F60" s="4">
        <v>2.5068000000000001</v>
      </c>
      <c r="G60" s="4">
        <v>168.33269999999999</v>
      </c>
    </row>
    <row r="61" spans="1:7" x14ac:dyDescent="0.3">
      <c r="A61" s="7">
        <v>59</v>
      </c>
      <c r="B61" s="9" t="s">
        <v>37</v>
      </c>
      <c r="C61" s="7">
        <v>0.13880000000000001</v>
      </c>
      <c r="D61" s="7">
        <v>5.5206999999999997</v>
      </c>
      <c r="E61" s="7">
        <v>1.6515</v>
      </c>
      <c r="F61" s="7">
        <v>1.7524999999999999</v>
      </c>
      <c r="G61" s="7">
        <v>168.47149999999999</v>
      </c>
    </row>
    <row r="62" spans="1:7" x14ac:dyDescent="0.3">
      <c r="A62" s="4">
        <v>60</v>
      </c>
      <c r="B62" s="10" t="s">
        <v>37</v>
      </c>
      <c r="C62" s="4">
        <v>1.1806000000000001</v>
      </c>
      <c r="D62" s="4">
        <v>0.2959</v>
      </c>
      <c r="E62" s="4">
        <v>1.7597</v>
      </c>
      <c r="F62" s="4">
        <v>1.167</v>
      </c>
      <c r="G62" s="4">
        <v>169.65209999999999</v>
      </c>
    </row>
    <row r="63" spans="1:7" x14ac:dyDescent="0.3">
      <c r="A63" s="7">
        <v>61</v>
      </c>
      <c r="B63" s="9" t="s">
        <v>37</v>
      </c>
      <c r="C63" s="7">
        <v>1.4763999999999999</v>
      </c>
      <c r="D63" s="7">
        <v>0.83430000000000004</v>
      </c>
      <c r="E63" s="7">
        <v>1.1398999999999999</v>
      </c>
      <c r="F63" s="7">
        <v>2.5543</v>
      </c>
      <c r="G63" s="7">
        <v>171.1285</v>
      </c>
    </row>
    <row r="64" spans="1:7" x14ac:dyDescent="0.3">
      <c r="A64" s="4">
        <v>62</v>
      </c>
      <c r="B64" s="10" t="s">
        <v>37</v>
      </c>
      <c r="C64" s="4">
        <v>0.94969999999999999</v>
      </c>
      <c r="D64" s="4">
        <v>0.2409</v>
      </c>
      <c r="E64" s="4">
        <v>1.3996</v>
      </c>
      <c r="F64" s="4">
        <v>2.1168</v>
      </c>
      <c r="G64" s="4">
        <v>172.07820000000001</v>
      </c>
    </row>
    <row r="65" spans="1:7" x14ac:dyDescent="0.3">
      <c r="A65" s="7">
        <v>63</v>
      </c>
      <c r="B65" s="9" t="s">
        <v>37</v>
      </c>
      <c r="C65" s="7">
        <v>5.2937000000000003</v>
      </c>
      <c r="D65" s="7">
        <v>5.1723999999999997</v>
      </c>
      <c r="E65" s="7">
        <v>1.3574999999999999</v>
      </c>
      <c r="F65" s="7">
        <v>1.8484</v>
      </c>
      <c r="G65" s="7">
        <v>177.37190000000001</v>
      </c>
    </row>
    <row r="66" spans="1:7" x14ac:dyDescent="0.3">
      <c r="A66" s="4">
        <v>64</v>
      </c>
      <c r="B66" s="10" t="s">
        <v>37</v>
      </c>
      <c r="C66" s="4">
        <v>1.3237000000000001</v>
      </c>
      <c r="D66" s="4">
        <v>4.1966999999999999</v>
      </c>
      <c r="E66" s="4">
        <v>1.304</v>
      </c>
      <c r="F66" s="4">
        <v>2.8127</v>
      </c>
      <c r="G66" s="4">
        <v>178.69560000000001</v>
      </c>
    </row>
    <row r="67" spans="1:7" x14ac:dyDescent="0.3">
      <c r="A67" s="7">
        <v>65</v>
      </c>
      <c r="B67" s="9" t="s">
        <v>37</v>
      </c>
      <c r="C67" s="7">
        <v>0.98939999999999995</v>
      </c>
      <c r="D67" s="7">
        <v>0.59670000000000001</v>
      </c>
      <c r="E67" s="7">
        <v>2.0295999999999998</v>
      </c>
      <c r="F67" s="7">
        <v>1.2223999999999999</v>
      </c>
      <c r="G67" s="7">
        <v>179.685</v>
      </c>
    </row>
    <row r="68" spans="1:7" x14ac:dyDescent="0.3">
      <c r="A68" s="4">
        <v>66</v>
      </c>
      <c r="B68" s="10" t="s">
        <v>37</v>
      </c>
      <c r="C68" s="4">
        <v>2.3472</v>
      </c>
      <c r="D68" s="4">
        <v>2.1575000000000002</v>
      </c>
      <c r="E68" s="4">
        <v>1.6214999999999999</v>
      </c>
      <c r="F68" s="4">
        <v>1.9853000000000001</v>
      </c>
      <c r="G68" s="4">
        <v>182.03219999999999</v>
      </c>
    </row>
    <row r="69" spans="1:7" x14ac:dyDescent="0.3">
      <c r="A69" s="7">
        <v>67</v>
      </c>
      <c r="B69" s="11" t="s">
        <v>38</v>
      </c>
      <c r="C69" s="7">
        <v>0.45569999999999999</v>
      </c>
      <c r="D69" s="7">
        <v>3.399</v>
      </c>
      <c r="E69" s="7">
        <v>1.1216999999999999</v>
      </c>
      <c r="F69" s="7">
        <v>1.0226999999999999</v>
      </c>
      <c r="G69" s="7">
        <v>182.4879</v>
      </c>
    </row>
    <row r="70" spans="1:7" x14ac:dyDescent="0.3">
      <c r="A70" s="4">
        <v>68</v>
      </c>
      <c r="B70" s="10" t="s">
        <v>37</v>
      </c>
      <c r="C70" s="4">
        <v>4.8615000000000004</v>
      </c>
      <c r="D70" s="4">
        <v>1.6203000000000001</v>
      </c>
      <c r="E70" s="4">
        <v>1.7754000000000001</v>
      </c>
      <c r="F70" s="4">
        <v>1.9373</v>
      </c>
      <c r="G70" s="4">
        <v>187.3494</v>
      </c>
    </row>
    <row r="71" spans="1:7" x14ac:dyDescent="0.3">
      <c r="A71" s="7">
        <v>69</v>
      </c>
      <c r="B71" s="9" t="s">
        <v>37</v>
      </c>
      <c r="C71" s="7">
        <v>0.2324</v>
      </c>
      <c r="D71" s="7">
        <v>1.5085999999999999</v>
      </c>
      <c r="E71" s="7">
        <v>2.1366000000000001</v>
      </c>
      <c r="F71" s="7">
        <v>1.1126</v>
      </c>
      <c r="G71" s="7">
        <v>187.58179999999999</v>
      </c>
    </row>
    <row r="72" spans="1:7" x14ac:dyDescent="0.3">
      <c r="A72" s="4">
        <v>70</v>
      </c>
      <c r="B72" s="11" t="s">
        <v>38</v>
      </c>
      <c r="C72" s="4">
        <v>13.0024</v>
      </c>
      <c r="D72" s="4">
        <v>0.55379999999999996</v>
      </c>
      <c r="E72" s="4">
        <v>1.8097000000000001</v>
      </c>
      <c r="F72" s="4">
        <v>1.2376</v>
      </c>
      <c r="G72" s="4">
        <v>200.58420000000001</v>
      </c>
    </row>
    <row r="73" spans="1:7" x14ac:dyDescent="0.3">
      <c r="A73" s="7">
        <v>71</v>
      </c>
      <c r="B73" s="9" t="s">
        <v>37</v>
      </c>
      <c r="C73" s="7">
        <v>4.4385000000000003</v>
      </c>
      <c r="D73" s="7">
        <v>0.19550000000000001</v>
      </c>
      <c r="E73" s="7">
        <v>1.0442</v>
      </c>
      <c r="F73" s="7">
        <v>1.2351000000000001</v>
      </c>
      <c r="G73" s="7">
        <v>205.02269999999999</v>
      </c>
    </row>
    <row r="74" spans="1:7" x14ac:dyDescent="0.3">
      <c r="A74" s="4">
        <v>72</v>
      </c>
      <c r="B74" s="10" t="s">
        <v>37</v>
      </c>
      <c r="C74" s="4">
        <v>0.66459999999999997</v>
      </c>
      <c r="D74" s="4">
        <v>4.5502000000000002</v>
      </c>
      <c r="E74" s="4">
        <v>1.3547</v>
      </c>
      <c r="F74" s="4">
        <v>2.2984</v>
      </c>
      <c r="G74" s="4">
        <v>205.68729999999999</v>
      </c>
    </row>
    <row r="75" spans="1:7" x14ac:dyDescent="0.3">
      <c r="A75" s="7">
        <v>73</v>
      </c>
      <c r="B75" s="9" t="s">
        <v>37</v>
      </c>
      <c r="C75" s="7">
        <v>1.66E-2</v>
      </c>
      <c r="D75" s="7">
        <v>4.6135000000000002</v>
      </c>
      <c r="E75" s="7">
        <v>1.8801000000000001</v>
      </c>
      <c r="F75" s="7">
        <v>2.4921000000000002</v>
      </c>
      <c r="G75" s="7">
        <v>205.7039</v>
      </c>
    </row>
    <row r="76" spans="1:7" x14ac:dyDescent="0.3">
      <c r="A76" s="4">
        <v>74</v>
      </c>
      <c r="B76" s="10" t="s">
        <v>37</v>
      </c>
      <c r="C76" s="4">
        <v>5.0697000000000001</v>
      </c>
      <c r="D76" s="4">
        <v>2.0053000000000001</v>
      </c>
      <c r="E76" s="4">
        <v>1.2877000000000001</v>
      </c>
      <c r="F76" s="4">
        <v>2.1667000000000001</v>
      </c>
      <c r="G76" s="4">
        <v>210.77359999999999</v>
      </c>
    </row>
    <row r="77" spans="1:7" x14ac:dyDescent="0.3">
      <c r="A77" s="7">
        <v>75</v>
      </c>
      <c r="B77" s="9" t="s">
        <v>37</v>
      </c>
      <c r="C77" s="7">
        <v>3.6812999999999998</v>
      </c>
      <c r="D77" s="7">
        <v>0.82809999999999995</v>
      </c>
      <c r="E77" s="7">
        <v>1.6331</v>
      </c>
      <c r="F77" s="7">
        <v>2.9243000000000001</v>
      </c>
      <c r="G77" s="7">
        <v>214.45490000000001</v>
      </c>
    </row>
    <row r="78" spans="1:7" x14ac:dyDescent="0.3">
      <c r="A78" s="4">
        <v>76</v>
      </c>
      <c r="B78" s="11" t="s">
        <v>38</v>
      </c>
      <c r="C78" s="4">
        <v>3.9169999999999998</v>
      </c>
      <c r="D78" s="4">
        <v>0.85909999999999997</v>
      </c>
      <c r="E78" s="4">
        <v>1.7323999999999999</v>
      </c>
      <c r="F78" s="4">
        <v>1.7497</v>
      </c>
      <c r="G78" s="4">
        <v>218.37190000000001</v>
      </c>
    </row>
    <row r="79" spans="1:7" x14ac:dyDescent="0.3">
      <c r="A79" s="7">
        <v>77</v>
      </c>
      <c r="B79" s="11" t="s">
        <v>38</v>
      </c>
      <c r="C79" s="7">
        <v>4.4256000000000002</v>
      </c>
      <c r="D79" s="7">
        <v>2.5889000000000002</v>
      </c>
      <c r="E79" s="7">
        <v>1.2219</v>
      </c>
      <c r="F79" s="7">
        <v>1.5713999999999999</v>
      </c>
      <c r="G79" s="7">
        <v>222.79750000000001</v>
      </c>
    </row>
    <row r="80" spans="1:7" x14ac:dyDescent="0.3">
      <c r="A80" s="4">
        <v>78</v>
      </c>
      <c r="B80" s="11" t="s">
        <v>38</v>
      </c>
      <c r="C80" s="4">
        <v>0.23080000000000001</v>
      </c>
      <c r="D80" s="4">
        <v>4.5481999999999996</v>
      </c>
      <c r="E80" s="4">
        <v>1.4821</v>
      </c>
      <c r="F80" s="4">
        <v>2.7372000000000001</v>
      </c>
      <c r="G80" s="4">
        <v>223.0283</v>
      </c>
    </row>
    <row r="81" spans="1:7" x14ac:dyDescent="0.3">
      <c r="A81" s="7">
        <v>79</v>
      </c>
      <c r="B81" s="11" t="s">
        <v>38</v>
      </c>
      <c r="C81" s="7">
        <v>1.3317000000000001</v>
      </c>
      <c r="D81" s="7">
        <v>4.3623000000000003</v>
      </c>
      <c r="E81" s="7">
        <v>0.52759999999999996</v>
      </c>
      <c r="F81" s="7">
        <v>1.4472</v>
      </c>
      <c r="G81" s="7">
        <v>224.36</v>
      </c>
    </row>
    <row r="82" spans="1:7" x14ac:dyDescent="0.3">
      <c r="A82" s="4">
        <v>80</v>
      </c>
      <c r="B82" s="11" t="s">
        <v>38</v>
      </c>
      <c r="C82" s="4">
        <v>0.3695</v>
      </c>
      <c r="D82" s="4">
        <v>3.0270999999999999</v>
      </c>
      <c r="E82" s="4">
        <v>1.1927000000000001</v>
      </c>
      <c r="F82" s="4">
        <v>2.9264000000000001</v>
      </c>
      <c r="G82" s="4">
        <v>224.7295</v>
      </c>
    </row>
    <row r="83" spans="1:7" x14ac:dyDescent="0.3">
      <c r="A83" s="7">
        <v>81</v>
      </c>
      <c r="B83" s="11" t="s">
        <v>38</v>
      </c>
      <c r="C83" s="7">
        <v>5.9656000000000002</v>
      </c>
      <c r="D83" s="7">
        <v>2.0546000000000002</v>
      </c>
      <c r="E83" s="7">
        <v>1.4241999999999999</v>
      </c>
      <c r="F83" s="7">
        <v>1.0243</v>
      </c>
      <c r="G83" s="7">
        <v>230.6951</v>
      </c>
    </row>
    <row r="84" spans="1:7" x14ac:dyDescent="0.3">
      <c r="A84" s="4">
        <v>82</v>
      </c>
      <c r="B84" s="10" t="s">
        <v>37</v>
      </c>
      <c r="C84" s="4">
        <v>2.9289000000000001</v>
      </c>
      <c r="D84" s="4">
        <v>0.17580000000000001</v>
      </c>
      <c r="E84" s="4">
        <v>1.1256999999999999</v>
      </c>
      <c r="F84" s="4">
        <v>2.9398</v>
      </c>
      <c r="G84" s="4">
        <v>233.624</v>
      </c>
    </row>
    <row r="85" spans="1:7" x14ac:dyDescent="0.3">
      <c r="A85" s="7">
        <v>83</v>
      </c>
      <c r="B85" s="11" t="s">
        <v>38</v>
      </c>
      <c r="C85" s="7">
        <v>1.2055</v>
      </c>
      <c r="D85" s="7">
        <v>0.35260000000000002</v>
      </c>
      <c r="E85" s="7">
        <v>1.9897</v>
      </c>
      <c r="F85" s="7">
        <v>1.0863</v>
      </c>
      <c r="G85" s="7">
        <v>234.8295</v>
      </c>
    </row>
    <row r="86" spans="1:7" x14ac:dyDescent="0.3">
      <c r="A86" s="4">
        <v>84</v>
      </c>
      <c r="B86" s="10" t="s">
        <v>37</v>
      </c>
      <c r="C86" s="4">
        <v>0.19700000000000001</v>
      </c>
      <c r="D86" s="4">
        <v>4.5765000000000002</v>
      </c>
      <c r="E86" s="4">
        <v>1.071</v>
      </c>
      <c r="F86" s="4">
        <v>2.7823000000000002</v>
      </c>
      <c r="G86" s="4">
        <v>235.0265</v>
      </c>
    </row>
    <row r="87" spans="1:7" x14ac:dyDescent="0.3">
      <c r="A87" s="7">
        <v>85</v>
      </c>
      <c r="B87" s="9" t="s">
        <v>37</v>
      </c>
      <c r="C87" s="7">
        <v>1.1174999999999999</v>
      </c>
      <c r="D87" s="7">
        <v>1.865</v>
      </c>
      <c r="E87" s="7">
        <v>1.3680000000000001</v>
      </c>
      <c r="F87" s="7">
        <v>2.0554000000000001</v>
      </c>
      <c r="G87" s="7">
        <v>236.14400000000001</v>
      </c>
    </row>
    <row r="88" spans="1:7" x14ac:dyDescent="0.3">
      <c r="A88" s="4">
        <v>86</v>
      </c>
      <c r="B88" s="10" t="s">
        <v>37</v>
      </c>
      <c r="C88" s="4">
        <v>1.1798999999999999</v>
      </c>
      <c r="D88" s="4">
        <v>1.8499999999999999E-2</v>
      </c>
      <c r="E88" s="4">
        <v>1.5391999999999999</v>
      </c>
      <c r="F88" s="4">
        <v>2.9859</v>
      </c>
      <c r="G88" s="4">
        <v>237.32390000000001</v>
      </c>
    </row>
    <row r="89" spans="1:7" x14ac:dyDescent="0.3">
      <c r="A89" s="7">
        <v>87</v>
      </c>
      <c r="B89" s="9" t="s">
        <v>37</v>
      </c>
      <c r="C89" s="7">
        <v>3.9236</v>
      </c>
      <c r="D89" s="7">
        <v>0.214</v>
      </c>
      <c r="E89" s="7">
        <v>1.9323999999999999</v>
      </c>
      <c r="F89" s="7">
        <v>1.1476</v>
      </c>
      <c r="G89" s="7">
        <v>241.2475</v>
      </c>
    </row>
    <row r="90" spans="1:7" x14ac:dyDescent="0.3">
      <c r="A90" s="4">
        <v>88</v>
      </c>
      <c r="B90" s="11" t="s">
        <v>38</v>
      </c>
      <c r="C90" s="4">
        <v>3.0447000000000002</v>
      </c>
      <c r="D90" s="4">
        <v>2.1783000000000001</v>
      </c>
      <c r="E90" s="4">
        <v>1.0691999999999999</v>
      </c>
      <c r="F90" s="4">
        <v>2.1076999999999999</v>
      </c>
      <c r="G90" s="4">
        <v>244.29220000000001</v>
      </c>
    </row>
    <row r="91" spans="1:7" x14ac:dyDescent="0.3">
      <c r="A91" s="7">
        <v>89</v>
      </c>
      <c r="B91" s="11" t="s">
        <v>38</v>
      </c>
      <c r="C91" s="7">
        <v>6.5468000000000002</v>
      </c>
      <c r="D91" s="7">
        <v>1.01E-2</v>
      </c>
      <c r="E91" s="7">
        <v>1.8489</v>
      </c>
      <c r="F91" s="7">
        <v>2.9386000000000001</v>
      </c>
      <c r="G91" s="7">
        <v>250.839</v>
      </c>
    </row>
    <row r="92" spans="1:7" x14ac:dyDescent="0.3">
      <c r="A92" s="4">
        <v>90</v>
      </c>
      <c r="B92" s="11" t="s">
        <v>38</v>
      </c>
      <c r="C92" s="4">
        <v>1.9172</v>
      </c>
      <c r="D92" s="4">
        <v>0.35060000000000002</v>
      </c>
      <c r="E92" s="4">
        <v>1.5031000000000001</v>
      </c>
      <c r="F92" s="4">
        <v>2.0461999999999998</v>
      </c>
      <c r="G92" s="4">
        <v>252.75620000000001</v>
      </c>
    </row>
    <row r="93" spans="1:7" x14ac:dyDescent="0.3">
      <c r="A93" s="7">
        <v>91</v>
      </c>
      <c r="B93" s="11" t="s">
        <v>38</v>
      </c>
      <c r="C93" s="7">
        <v>0.3821</v>
      </c>
      <c r="D93" s="7">
        <v>1.5913999999999999</v>
      </c>
      <c r="E93" s="7">
        <v>1.2055</v>
      </c>
      <c r="F93" s="7">
        <v>2.2587999999999999</v>
      </c>
      <c r="G93" s="7">
        <v>253.13829999999999</v>
      </c>
    </row>
    <row r="94" spans="1:7" x14ac:dyDescent="0.3">
      <c r="A94" s="4">
        <v>92</v>
      </c>
      <c r="B94" s="11" t="s">
        <v>38</v>
      </c>
      <c r="C94" s="4">
        <v>3.7473999999999998</v>
      </c>
      <c r="D94" s="4">
        <v>2.3546</v>
      </c>
      <c r="E94" s="4">
        <v>1.6386000000000001</v>
      </c>
      <c r="F94" s="4">
        <v>2.3915000000000002</v>
      </c>
      <c r="G94" s="4">
        <v>256.88569999999999</v>
      </c>
    </row>
    <row r="95" spans="1:7" x14ac:dyDescent="0.3">
      <c r="A95" s="7">
        <v>93</v>
      </c>
      <c r="B95" s="11" t="s">
        <v>38</v>
      </c>
      <c r="C95" s="7">
        <v>4.2911999999999999</v>
      </c>
      <c r="D95" s="7">
        <v>2.1109</v>
      </c>
      <c r="E95" s="7">
        <v>1.5597000000000001</v>
      </c>
      <c r="F95" s="7">
        <v>1.9091</v>
      </c>
      <c r="G95" s="7">
        <v>261.17689999999999</v>
      </c>
    </row>
    <row r="96" spans="1:7" x14ac:dyDescent="0.3">
      <c r="A96" s="4">
        <v>94</v>
      </c>
      <c r="B96" s="11" t="s">
        <v>38</v>
      </c>
      <c r="C96" s="4">
        <v>2.4716999999999998</v>
      </c>
      <c r="D96" s="4">
        <v>0.50790000000000002</v>
      </c>
      <c r="E96" s="4">
        <v>1.3199000000000001</v>
      </c>
      <c r="F96" s="4">
        <v>2.2551000000000001</v>
      </c>
      <c r="G96" s="4">
        <v>263.64859999999999</v>
      </c>
    </row>
    <row r="97" spans="1:7" x14ac:dyDescent="0.3">
      <c r="A97" s="7">
        <v>95</v>
      </c>
      <c r="B97" s="11" t="s">
        <v>38</v>
      </c>
      <c r="C97" s="7">
        <v>4.4217000000000004</v>
      </c>
      <c r="D97" s="7">
        <v>2.4908000000000001</v>
      </c>
      <c r="E97" s="7">
        <v>1.5208999999999999</v>
      </c>
      <c r="F97" s="7">
        <v>2.1686000000000001</v>
      </c>
      <c r="G97" s="7">
        <v>268.07029999999997</v>
      </c>
    </row>
    <row r="98" spans="1:7" x14ac:dyDescent="0.3">
      <c r="A98" s="4">
        <v>96</v>
      </c>
      <c r="B98" s="10" t="s">
        <v>37</v>
      </c>
      <c r="C98" s="4">
        <v>2.0424000000000002</v>
      </c>
      <c r="D98" s="4">
        <v>0.54159999999999997</v>
      </c>
      <c r="E98" s="4">
        <v>1.3844000000000001</v>
      </c>
      <c r="F98" s="4">
        <v>2.8022999999999998</v>
      </c>
      <c r="G98" s="4">
        <v>270.11270000000002</v>
      </c>
    </row>
    <row r="99" spans="1:7" x14ac:dyDescent="0.3">
      <c r="A99" s="7">
        <v>97</v>
      </c>
      <c r="B99" s="11" t="s">
        <v>38</v>
      </c>
      <c r="C99" s="7">
        <v>2.2189999999999999</v>
      </c>
      <c r="D99" s="7">
        <v>0.7873</v>
      </c>
      <c r="E99" s="7">
        <v>1.5341</v>
      </c>
      <c r="F99" s="7">
        <v>1.0909</v>
      </c>
      <c r="G99" s="7">
        <v>272.33170000000001</v>
      </c>
    </row>
    <row r="100" spans="1:7" x14ac:dyDescent="0.3">
      <c r="A100" s="4">
        <v>98</v>
      </c>
      <c r="B100" s="10" t="s">
        <v>37</v>
      </c>
      <c r="C100" s="4">
        <v>1.6734</v>
      </c>
      <c r="D100" s="4">
        <v>2.7446999999999999</v>
      </c>
      <c r="E100" s="4">
        <v>1.6986000000000001</v>
      </c>
      <c r="F100" s="4">
        <v>1.5619000000000001</v>
      </c>
      <c r="G100" s="4">
        <v>274.00510000000003</v>
      </c>
    </row>
    <row r="101" spans="1:7" x14ac:dyDescent="0.3">
      <c r="A101" s="7">
        <v>99</v>
      </c>
      <c r="B101" s="9" t="s">
        <v>37</v>
      </c>
      <c r="C101" s="7">
        <v>7.7200000000000005E-2</v>
      </c>
      <c r="D101" s="7">
        <v>2.0975000000000001</v>
      </c>
      <c r="E101" s="7">
        <v>1.9758</v>
      </c>
      <c r="F101" s="7">
        <v>2.9007999999999998</v>
      </c>
      <c r="G101" s="7">
        <v>274.08229999999998</v>
      </c>
    </row>
    <row r="102" spans="1:7" x14ac:dyDescent="0.3">
      <c r="A102" s="4">
        <v>100</v>
      </c>
      <c r="B102" s="10" t="s">
        <v>37</v>
      </c>
      <c r="C102" s="4">
        <v>0.34250000000000003</v>
      </c>
      <c r="D102" s="4">
        <v>3.7839</v>
      </c>
      <c r="E102" s="4">
        <v>1.1287</v>
      </c>
      <c r="F102" s="4">
        <v>2.7805</v>
      </c>
      <c r="G102" s="4">
        <v>274.4248</v>
      </c>
    </row>
    <row r="103" spans="1:7" x14ac:dyDescent="0.3">
      <c r="A103" s="7">
        <v>101</v>
      </c>
      <c r="B103" s="11" t="s">
        <v>38</v>
      </c>
      <c r="C103" s="7">
        <v>9.5799999999999996E-2</v>
      </c>
      <c r="D103" s="7">
        <v>2.1436000000000002</v>
      </c>
      <c r="E103" s="7">
        <v>2.1398999999999999</v>
      </c>
      <c r="F103" s="7">
        <v>1.9113</v>
      </c>
      <c r="G103" s="7">
        <v>274.5206</v>
      </c>
    </row>
    <row r="104" spans="1:7" x14ac:dyDescent="0.3">
      <c r="A104" s="4">
        <v>102</v>
      </c>
      <c r="B104" s="10" t="s">
        <v>37</v>
      </c>
      <c r="C104" s="4">
        <v>3.0352000000000001</v>
      </c>
      <c r="D104" s="4">
        <v>1.6800999999999999</v>
      </c>
      <c r="E104" s="4">
        <v>0.91439999999999999</v>
      </c>
      <c r="F104" s="4">
        <v>2.2403</v>
      </c>
      <c r="G104" s="4">
        <v>277.55579999999998</v>
      </c>
    </row>
    <row r="105" spans="1:7" x14ac:dyDescent="0.3">
      <c r="A105" s="7">
        <v>103</v>
      </c>
      <c r="B105" s="9" t="s">
        <v>37</v>
      </c>
      <c r="C105" s="7">
        <v>1.1322000000000001</v>
      </c>
      <c r="D105" s="7">
        <v>0.19670000000000001</v>
      </c>
      <c r="E105" s="7">
        <v>1.4544999999999999</v>
      </c>
      <c r="F105" s="7">
        <v>1.5548</v>
      </c>
      <c r="G105" s="7">
        <v>278.68799999999999</v>
      </c>
    </row>
    <row r="106" spans="1:7" x14ac:dyDescent="0.3">
      <c r="A106" s="4">
        <v>104</v>
      </c>
      <c r="B106" s="11" t="s">
        <v>38</v>
      </c>
      <c r="C106" s="4">
        <v>2.1313</v>
      </c>
      <c r="D106" s="4">
        <v>0.91679999999999995</v>
      </c>
      <c r="E106" s="4">
        <v>1.6765000000000001</v>
      </c>
      <c r="F106" s="4">
        <v>1.3762000000000001</v>
      </c>
      <c r="G106" s="4">
        <v>280.8193</v>
      </c>
    </row>
    <row r="107" spans="1:7" x14ac:dyDescent="0.3">
      <c r="A107" s="7">
        <v>105</v>
      </c>
      <c r="B107" s="9" t="s">
        <v>37</v>
      </c>
      <c r="C107" s="7">
        <v>7.1437999999999997</v>
      </c>
      <c r="D107" s="7">
        <v>0.61629999999999996</v>
      </c>
      <c r="E107" s="7">
        <v>1.5843</v>
      </c>
      <c r="F107" s="7">
        <v>1.9274</v>
      </c>
      <c r="G107" s="7">
        <v>287.9631</v>
      </c>
    </row>
    <row r="108" spans="1:7" x14ac:dyDescent="0.3">
      <c r="A108" s="4">
        <v>106</v>
      </c>
      <c r="B108" s="10" t="s">
        <v>37</v>
      </c>
      <c r="C108" s="4">
        <v>0.86019999999999996</v>
      </c>
      <c r="D108" s="4">
        <v>0.55940000000000001</v>
      </c>
      <c r="E108" s="4">
        <v>1.3131999999999999</v>
      </c>
      <c r="F108" s="4">
        <v>1.7067000000000001</v>
      </c>
      <c r="G108" s="4">
        <v>288.82330000000002</v>
      </c>
    </row>
    <row r="109" spans="1:7" x14ac:dyDescent="0.3">
      <c r="A109" s="7">
        <v>107</v>
      </c>
      <c r="B109" s="11" t="s">
        <v>38</v>
      </c>
      <c r="C109" s="7">
        <v>1.5848</v>
      </c>
      <c r="D109" s="7">
        <v>7.2245999999999997</v>
      </c>
      <c r="E109" s="7">
        <v>1.4376</v>
      </c>
      <c r="F109" s="7">
        <v>2.1673</v>
      </c>
      <c r="G109" s="7">
        <v>290.40809999999999</v>
      </c>
    </row>
    <row r="110" spans="1:7" x14ac:dyDescent="0.3">
      <c r="A110" s="4">
        <v>108</v>
      </c>
      <c r="B110" s="11" t="s">
        <v>38</v>
      </c>
      <c r="C110" s="4">
        <v>4.2262000000000004</v>
      </c>
      <c r="D110" s="4">
        <v>0.99880000000000002</v>
      </c>
      <c r="E110" s="4">
        <v>1.3521000000000001</v>
      </c>
      <c r="F110" s="4">
        <v>1.1555</v>
      </c>
      <c r="G110" s="4">
        <v>294.6343</v>
      </c>
    </row>
    <row r="111" spans="1:7" x14ac:dyDescent="0.3">
      <c r="A111" s="7">
        <v>109</v>
      </c>
      <c r="B111" s="9" t="s">
        <v>37</v>
      </c>
      <c r="C111" s="7">
        <v>0.77939999999999998</v>
      </c>
      <c r="D111" s="7">
        <v>4.4520999999999997</v>
      </c>
      <c r="E111" s="7">
        <v>1.3231999999999999</v>
      </c>
      <c r="F111" s="7">
        <v>2.9487999999999999</v>
      </c>
      <c r="G111" s="7">
        <v>295.41370000000001</v>
      </c>
    </row>
    <row r="112" spans="1:7" x14ac:dyDescent="0.3">
      <c r="A112" s="4">
        <v>110</v>
      </c>
      <c r="B112" s="10" t="s">
        <v>37</v>
      </c>
      <c r="C112" s="4">
        <v>0.24030000000000001</v>
      </c>
      <c r="D112" s="4">
        <v>1.9946999999999999</v>
      </c>
      <c r="E112" s="4">
        <v>1.7548999999999999</v>
      </c>
      <c r="F112" s="4">
        <v>2.9723999999999999</v>
      </c>
      <c r="G112" s="4">
        <v>295.654</v>
      </c>
    </row>
    <row r="113" spans="1:7" x14ac:dyDescent="0.3">
      <c r="A113" s="7">
        <v>111</v>
      </c>
      <c r="B113" s="11" t="s">
        <v>38</v>
      </c>
      <c r="C113" s="7">
        <v>1.0264</v>
      </c>
      <c r="D113" s="7">
        <v>3.1677</v>
      </c>
      <c r="E113" s="7">
        <v>1.6071</v>
      </c>
      <c r="F113" s="7">
        <v>2.3963000000000001</v>
      </c>
      <c r="G113" s="7">
        <v>296.68040000000002</v>
      </c>
    </row>
    <row r="114" spans="1:7" x14ac:dyDescent="0.3">
      <c r="A114" s="4">
        <v>112</v>
      </c>
      <c r="B114" s="11" t="s">
        <v>38</v>
      </c>
      <c r="C114" s="4">
        <v>0.52739999999999998</v>
      </c>
      <c r="D114" s="4">
        <v>1.3969</v>
      </c>
      <c r="E114" s="4">
        <v>1.2921</v>
      </c>
      <c r="F114" s="4">
        <v>2.0722</v>
      </c>
      <c r="G114" s="4">
        <v>297.20780000000002</v>
      </c>
    </row>
    <row r="115" spans="1:7" x14ac:dyDescent="0.3">
      <c r="A115" s="7">
        <v>113</v>
      </c>
      <c r="B115" s="9" t="s">
        <v>37</v>
      </c>
      <c r="C115" s="7">
        <v>7.9649000000000001</v>
      </c>
      <c r="D115" s="7">
        <v>1.7202999999999999</v>
      </c>
      <c r="E115" s="7">
        <v>1.7699</v>
      </c>
      <c r="F115" s="7">
        <v>1.6191</v>
      </c>
      <c r="G115" s="7">
        <v>305.17270000000002</v>
      </c>
    </row>
    <row r="116" spans="1:7" x14ac:dyDescent="0.3">
      <c r="A116" s="4">
        <v>114</v>
      </c>
      <c r="B116" s="10" t="s">
        <v>37</v>
      </c>
      <c r="C116" s="4">
        <v>4.9527000000000001</v>
      </c>
      <c r="D116" s="4">
        <v>1.3566</v>
      </c>
      <c r="E116" s="4">
        <v>1.5922000000000001</v>
      </c>
      <c r="F116" s="4">
        <v>2.6276000000000002</v>
      </c>
      <c r="G116" s="4">
        <v>310.12540000000001</v>
      </c>
    </row>
    <row r="117" spans="1:7" x14ac:dyDescent="0.3">
      <c r="A117" s="7">
        <v>115</v>
      </c>
      <c r="B117" s="9" t="s">
        <v>37</v>
      </c>
      <c r="C117" s="7">
        <v>3.0105</v>
      </c>
      <c r="D117" s="7">
        <v>0.43440000000000001</v>
      </c>
      <c r="E117" s="7">
        <v>1.7439</v>
      </c>
      <c r="F117" s="7">
        <v>2.3694999999999999</v>
      </c>
      <c r="G117" s="7">
        <v>313.13589999999999</v>
      </c>
    </row>
    <row r="118" spans="1:7" x14ac:dyDescent="0.3">
      <c r="A118" s="4">
        <v>116</v>
      </c>
      <c r="B118" s="10" t="s">
        <v>37</v>
      </c>
      <c r="C118" s="4">
        <v>6.1546000000000003</v>
      </c>
      <c r="D118" s="4">
        <v>2.5634999999999999</v>
      </c>
      <c r="E118" s="4">
        <v>1.6889000000000001</v>
      </c>
      <c r="F118" s="4">
        <v>1.3251999999999999</v>
      </c>
      <c r="G118" s="4">
        <v>319.29050000000001</v>
      </c>
    </row>
    <row r="119" spans="1:7" x14ac:dyDescent="0.3">
      <c r="A119" s="7">
        <v>117</v>
      </c>
      <c r="B119" s="9" t="s">
        <v>37</v>
      </c>
      <c r="C119" s="7">
        <v>4.8838999999999997</v>
      </c>
      <c r="D119" s="7">
        <v>0.65920000000000001</v>
      </c>
      <c r="E119" s="7">
        <v>1.2513000000000001</v>
      </c>
      <c r="F119" s="7">
        <v>2.8218999999999999</v>
      </c>
      <c r="G119" s="7">
        <v>324.17439999999999</v>
      </c>
    </row>
    <row r="120" spans="1:7" x14ac:dyDescent="0.3">
      <c r="A120" s="4">
        <v>118</v>
      </c>
      <c r="B120" s="10" t="s">
        <v>37</v>
      </c>
      <c r="C120" s="4">
        <v>0.61950000000000005</v>
      </c>
      <c r="D120" s="4">
        <v>4.9200000000000001E-2</v>
      </c>
      <c r="E120" s="4">
        <v>1.3319000000000001</v>
      </c>
      <c r="F120" s="4">
        <v>2.6450999999999998</v>
      </c>
      <c r="G120" s="4">
        <v>324.79390000000001</v>
      </c>
    </row>
    <row r="121" spans="1:7" x14ac:dyDescent="0.3">
      <c r="A121" s="7">
        <v>119</v>
      </c>
      <c r="B121" s="11" t="s">
        <v>38</v>
      </c>
      <c r="C121" s="7">
        <v>6.6924000000000001</v>
      </c>
      <c r="D121" s="7">
        <v>2.0739000000000001</v>
      </c>
      <c r="E121" s="7">
        <v>1.7242</v>
      </c>
      <c r="F121" s="7">
        <v>2.8996</v>
      </c>
      <c r="G121" s="7">
        <v>331.48630000000003</v>
      </c>
    </row>
    <row r="122" spans="1:7" x14ac:dyDescent="0.3">
      <c r="A122" s="4">
        <v>120</v>
      </c>
      <c r="B122" s="11" t="s">
        <v>38</v>
      </c>
      <c r="C122" s="4">
        <v>2.3252999999999999</v>
      </c>
      <c r="D122" s="4">
        <v>0.38990000000000002</v>
      </c>
      <c r="E122" s="4">
        <v>1.6831</v>
      </c>
      <c r="F122" s="4">
        <v>2.4514</v>
      </c>
      <c r="G122" s="4">
        <v>333.8116</v>
      </c>
    </row>
    <row r="124" spans="1:7" x14ac:dyDescent="0.3">
      <c r="A124" s="23" t="s">
        <v>39</v>
      </c>
      <c r="B124" s="21"/>
      <c r="C124" s="12">
        <f>AVERAGE(C3:C123)</f>
        <v>2.7817633333333336</v>
      </c>
      <c r="D124" s="12">
        <f>AVERAGE(D3:D123)</f>
        <v>1.8421291666666668</v>
      </c>
      <c r="E124" s="12">
        <f>AVERAGE(E3:E123)</f>
        <v>1.5077716666666661</v>
      </c>
      <c r="F124" s="12">
        <f>AVERAGE(F3:F123)</f>
        <v>2.0805674999999995</v>
      </c>
      <c r="G124" s="12">
        <f>AVERAGE(G3:G123)</f>
        <v>167.05267250000003</v>
      </c>
    </row>
  </sheetData>
  <mergeCells count="2">
    <mergeCell ref="A124:B1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F1"/>
    </sheetView>
  </sheetViews>
  <sheetFormatPr defaultRowHeight="14.4" x14ac:dyDescent="0.3"/>
  <cols>
    <col min="1" max="1" width="20" customWidth="1"/>
    <col min="2" max="3" width="22" customWidth="1"/>
    <col min="4" max="5" width="20" customWidth="1"/>
  </cols>
  <sheetData>
    <row r="1" spans="1:6" ht="28.05" customHeight="1" x14ac:dyDescent="0.3">
      <c r="A1" s="24" t="s">
        <v>40</v>
      </c>
      <c r="B1" s="21"/>
      <c r="C1" s="21"/>
      <c r="D1" s="21"/>
      <c r="E1" s="21"/>
      <c r="F1" s="21"/>
    </row>
    <row r="2" spans="1:6" x14ac:dyDescent="0.3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</row>
    <row r="3" spans="1:6" x14ac:dyDescent="0.3">
      <c r="A3" s="2" t="s">
        <v>46</v>
      </c>
      <c r="B3" s="4">
        <v>120</v>
      </c>
      <c r="C3" s="4">
        <v>120</v>
      </c>
      <c r="D3" s="4">
        <v>120</v>
      </c>
      <c r="E3" s="4">
        <v>120</v>
      </c>
    </row>
    <row r="4" spans="1:6" x14ac:dyDescent="0.3">
      <c r="A4" s="5" t="s">
        <v>47</v>
      </c>
      <c r="B4" s="7">
        <f>AVERAGE('Raw Data (120 obs.)'!C3:C122)</f>
        <v>2.7817633333333336</v>
      </c>
      <c r="C4" s="7">
        <f>AVERAGE('Raw Data (120 obs.)'!D3:D122)</f>
        <v>1.8421291666666668</v>
      </c>
      <c r="D4" s="7">
        <f>AVERAGE('Raw Data (120 obs.)'!E3:E122)</f>
        <v>1.5077716666666661</v>
      </c>
      <c r="E4" s="7">
        <f>AVERAGE('Raw Data (120 obs.)'!F3:F122)</f>
        <v>2.0805674999999995</v>
      </c>
    </row>
    <row r="5" spans="1:6" x14ac:dyDescent="0.3">
      <c r="A5" s="2" t="s">
        <v>48</v>
      </c>
      <c r="B5" s="4">
        <f>STDEV('Raw Data (120 obs.)'!C3:C122)</f>
        <v>2.7144639403296811</v>
      </c>
      <c r="C5" s="4">
        <f>STDEV('Raw Data (120 obs.)'!D3:D122)</f>
        <v>1.7444404388239629</v>
      </c>
      <c r="D5" s="4">
        <f>STDEV('Raw Data (120 obs.)'!E3:E122)</f>
        <v>0.31026906598648513</v>
      </c>
      <c r="E5" s="4">
        <f>STDEV('Raw Data (120 obs.)'!F3:F122)</f>
        <v>0.62288829706099769</v>
      </c>
    </row>
    <row r="6" spans="1:6" x14ac:dyDescent="0.3">
      <c r="A6" s="5" t="s">
        <v>49</v>
      </c>
      <c r="B6" s="7">
        <f>MIN('Raw Data (120 obs.)'!C3:C122)</f>
        <v>1.66E-2</v>
      </c>
      <c r="C6" s="7">
        <f>MIN('Raw Data (120 obs.)'!D3:D122)</f>
        <v>1.01E-2</v>
      </c>
      <c r="D6" s="7">
        <f>MIN('Raw Data (120 obs.)'!E3:E122)</f>
        <v>0.52759999999999996</v>
      </c>
      <c r="E6" s="7">
        <f>MIN('Raw Data (120 obs.)'!F3:F122)</f>
        <v>1.0217000000000001</v>
      </c>
    </row>
    <row r="7" spans="1:6" x14ac:dyDescent="0.3">
      <c r="A7" s="2" t="s">
        <v>50</v>
      </c>
      <c r="B7" s="4">
        <f>MEDIAN('Raw Data (120 obs.)'!C3:C122)</f>
        <v>1.9798</v>
      </c>
      <c r="C7" s="4">
        <f>MEDIAN('Raw Data (120 obs.)'!D3:D122)</f>
        <v>1.3969499999999999</v>
      </c>
      <c r="D7" s="4">
        <f>MEDIAN('Raw Data (120 obs.)'!E3:E122)</f>
        <v>1.5227499999999998</v>
      </c>
      <c r="E7" s="4">
        <f>MEDIAN('Raw Data (120 obs.)'!F3:F122)</f>
        <v>2.11225</v>
      </c>
    </row>
    <row r="8" spans="1:6" x14ac:dyDescent="0.3">
      <c r="A8" s="5" t="s">
        <v>51</v>
      </c>
      <c r="B8" s="7">
        <f>MAX('Raw Data (120 obs.)'!C3:C122)</f>
        <v>13.0024</v>
      </c>
      <c r="C8" s="7">
        <f>MAX('Raw Data (120 obs.)'!D3:D122)</f>
        <v>8.4880999999999993</v>
      </c>
      <c r="D8" s="7">
        <f>MAX('Raw Data (120 obs.)'!E3:E122)</f>
        <v>2.6558000000000002</v>
      </c>
      <c r="E8" s="7">
        <f>MAX('Raw Data (120 obs.)'!F3:F122)</f>
        <v>2.9859</v>
      </c>
    </row>
    <row r="9" spans="1:6" x14ac:dyDescent="0.3">
      <c r="A9" s="2" t="s">
        <v>52</v>
      </c>
      <c r="B9" s="4">
        <f>B5/B4</f>
        <v>0.97580693073446734</v>
      </c>
      <c r="C9" s="4">
        <f>C5/C4</f>
        <v>0.94696966444569597</v>
      </c>
      <c r="D9" s="4">
        <f>D5/D4</f>
        <v>0.20577987559112193</v>
      </c>
      <c r="E9" s="4">
        <f>E5/E4</f>
        <v>0.29938384458134515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1"/>
    </sheetView>
  </sheetViews>
  <sheetFormatPr defaultRowHeight="14.4" x14ac:dyDescent="0.3"/>
  <cols>
    <col min="1" max="2" width="22" customWidth="1"/>
    <col min="3" max="3" width="16" customWidth="1"/>
    <col min="4" max="5" width="14" customWidth="1"/>
    <col min="6" max="6" width="28" customWidth="1"/>
  </cols>
  <sheetData>
    <row r="1" spans="1:6" ht="28.05" customHeight="1" x14ac:dyDescent="0.3">
      <c r="A1" s="24" t="s">
        <v>53</v>
      </c>
      <c r="B1" s="21"/>
      <c r="C1" s="21"/>
      <c r="D1" s="21"/>
      <c r="E1" s="21"/>
      <c r="F1" s="21"/>
    </row>
    <row r="2" spans="1:6" x14ac:dyDescent="0.3">
      <c r="A2" s="8" t="s">
        <v>54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</row>
    <row r="3" spans="1:6" x14ac:dyDescent="0.3">
      <c r="A3" s="2" t="s">
        <v>60</v>
      </c>
      <c r="B3" s="4" t="s">
        <v>61</v>
      </c>
      <c r="C3" s="4">
        <v>5.6660000000000002E-2</v>
      </c>
      <c r="D3" s="4">
        <v>0.81467000000000001</v>
      </c>
      <c r="E3" s="13" t="s">
        <v>62</v>
      </c>
      <c r="F3" s="3" t="s">
        <v>63</v>
      </c>
    </row>
    <row r="4" spans="1:6" x14ac:dyDescent="0.3">
      <c r="A4" s="5" t="s">
        <v>64</v>
      </c>
      <c r="B4" s="7" t="s">
        <v>65</v>
      </c>
      <c r="C4" s="7">
        <v>5.1900000000000002E-2</v>
      </c>
      <c r="D4" s="7">
        <v>0.88614000000000004</v>
      </c>
      <c r="E4" s="13" t="s">
        <v>62</v>
      </c>
      <c r="F4" s="6" t="s">
        <v>66</v>
      </c>
    </row>
    <row r="5" spans="1:6" x14ac:dyDescent="0.3">
      <c r="A5" s="2" t="s">
        <v>67</v>
      </c>
      <c r="B5" s="4" t="s">
        <v>68</v>
      </c>
      <c r="C5" s="4">
        <v>5.1529999999999999E-2</v>
      </c>
      <c r="D5" s="4">
        <v>0.89109000000000005</v>
      </c>
      <c r="E5" s="13" t="s">
        <v>62</v>
      </c>
      <c r="F5" s="3" t="s">
        <v>69</v>
      </c>
    </row>
    <row r="6" spans="1:6" x14ac:dyDescent="0.3">
      <c r="A6" s="5" t="s">
        <v>70</v>
      </c>
      <c r="B6" s="7" t="s">
        <v>68</v>
      </c>
      <c r="C6" s="7">
        <v>9.6479999999999996E-2</v>
      </c>
      <c r="D6" s="7">
        <v>0.20053000000000001</v>
      </c>
      <c r="E6" s="13" t="s">
        <v>62</v>
      </c>
      <c r="F6" s="6" t="s">
        <v>71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"/>
  <sheetViews>
    <sheetView workbookViewId="0">
      <selection sqref="A1:T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6" customWidth="1"/>
    <col min="10" max="10" width="5.88671875" customWidth="1"/>
    <col min="11" max="20" width="8.88671875" hidden="1" customWidth="1"/>
  </cols>
  <sheetData>
    <row r="1" spans="1:20" ht="28.05" customHeight="1" x14ac:dyDescent="0.3">
      <c r="A1" s="24" t="s">
        <v>72</v>
      </c>
      <c r="B1" s="21"/>
      <c r="C1" s="21"/>
      <c r="D1" s="21"/>
      <c r="E1" s="24" t="s">
        <v>72</v>
      </c>
      <c r="F1" s="21"/>
      <c r="G1" s="21"/>
      <c r="H1" s="21"/>
      <c r="I1" s="24" t="s">
        <v>72</v>
      </c>
      <c r="J1" s="21"/>
      <c r="K1" s="21"/>
      <c r="L1" s="21"/>
      <c r="M1" s="24" t="s">
        <v>72</v>
      </c>
      <c r="N1" s="21"/>
      <c r="O1" s="21"/>
      <c r="P1" s="21"/>
      <c r="Q1" s="24" t="s">
        <v>72</v>
      </c>
      <c r="R1" s="21"/>
      <c r="S1" s="21"/>
      <c r="T1" s="21"/>
    </row>
    <row r="3" spans="1:20" x14ac:dyDescent="0.3">
      <c r="A3" s="25" t="s">
        <v>73</v>
      </c>
      <c r="B3" s="21"/>
      <c r="C3" s="21"/>
      <c r="D3" s="21"/>
    </row>
    <row r="4" spans="1:20" ht="26.4" x14ac:dyDescent="0.3">
      <c r="A4" s="8" t="s">
        <v>74</v>
      </c>
      <c r="B4" s="8" t="s">
        <v>75</v>
      </c>
      <c r="C4" s="8" t="s">
        <v>76</v>
      </c>
      <c r="D4" s="8" t="s">
        <v>58</v>
      </c>
    </row>
    <row r="5" spans="1:20" ht="39.6" x14ac:dyDescent="0.3">
      <c r="A5" s="2" t="s">
        <v>77</v>
      </c>
      <c r="B5" s="14" t="s">
        <v>78</v>
      </c>
      <c r="C5" s="4">
        <f>AVERAGE('Raw Data (120 obs.)'!C3:C122)</f>
        <v>2.7817633333333336</v>
      </c>
      <c r="D5" s="4" t="s">
        <v>79</v>
      </c>
    </row>
    <row r="6" spans="1:20" ht="39.6" x14ac:dyDescent="0.3">
      <c r="A6" s="5" t="s">
        <v>80</v>
      </c>
      <c r="B6" s="15" t="s">
        <v>81</v>
      </c>
      <c r="C6" s="7">
        <f>AVERAGE('Raw Data (120 obs.)'!D3:D122)</f>
        <v>1.8421291666666668</v>
      </c>
      <c r="D6" s="7" t="s">
        <v>79</v>
      </c>
    </row>
    <row r="7" spans="1:20" x14ac:dyDescent="0.3">
      <c r="A7" s="2" t="s">
        <v>82</v>
      </c>
      <c r="B7" s="14" t="s">
        <v>83</v>
      </c>
      <c r="C7" s="4" t="e">
        <f>1/B5</f>
        <v>#VALUE!</v>
      </c>
      <c r="D7" s="4" t="s">
        <v>84</v>
      </c>
    </row>
    <row r="8" spans="1:20" x14ac:dyDescent="0.3">
      <c r="A8" s="5" t="s">
        <v>85</v>
      </c>
      <c r="B8" s="15" t="s">
        <v>86</v>
      </c>
      <c r="C8" s="7" t="e">
        <f>1/B6</f>
        <v>#VALUE!</v>
      </c>
      <c r="D8" s="7" t="s">
        <v>84</v>
      </c>
    </row>
    <row r="10" spans="1:20" x14ac:dyDescent="0.3">
      <c r="A10" s="25" t="s">
        <v>87</v>
      </c>
      <c r="B10" s="21"/>
      <c r="C10" s="21"/>
      <c r="D10" s="21"/>
    </row>
    <row r="11" spans="1:20" x14ac:dyDescent="0.3">
      <c r="A11" s="8" t="s">
        <v>88</v>
      </c>
      <c r="B11" s="8" t="s">
        <v>75</v>
      </c>
      <c r="C11" s="8" t="s">
        <v>89</v>
      </c>
      <c r="D11" s="8" t="s">
        <v>90</v>
      </c>
    </row>
    <row r="12" spans="1:20" ht="26.4" x14ac:dyDescent="0.3">
      <c r="A12" s="5" t="s">
        <v>91</v>
      </c>
      <c r="B12" s="15" t="s">
        <v>92</v>
      </c>
      <c r="C12" s="7" t="e">
        <f>B7/B8</f>
        <v>#VALUE!</v>
      </c>
      <c r="D12" s="7"/>
    </row>
    <row r="13" spans="1:20" ht="26.4" x14ac:dyDescent="0.3">
      <c r="A13" s="2" t="s">
        <v>93</v>
      </c>
      <c r="B13" s="14" t="s">
        <v>94</v>
      </c>
      <c r="C13" s="4" t="e">
        <f>B12^2/(1-B12)</f>
        <v>#VALUE!</v>
      </c>
      <c r="D13" s="4" t="s">
        <v>95</v>
      </c>
    </row>
    <row r="14" spans="1:20" ht="26.4" x14ac:dyDescent="0.3">
      <c r="A14" s="5" t="s">
        <v>96</v>
      </c>
      <c r="B14" s="15" t="s">
        <v>97</v>
      </c>
      <c r="C14" s="7" t="e">
        <f>B12/(1-B12)</f>
        <v>#VALUE!</v>
      </c>
      <c r="D14" s="7" t="s">
        <v>95</v>
      </c>
    </row>
    <row r="15" spans="1:20" ht="26.4" x14ac:dyDescent="0.3">
      <c r="A15" s="2" t="s">
        <v>98</v>
      </c>
      <c r="B15" s="14" t="s">
        <v>99</v>
      </c>
      <c r="C15" s="4" t="e">
        <f>B13/B7</f>
        <v>#VALUE!</v>
      </c>
      <c r="D15" s="4" t="s">
        <v>79</v>
      </c>
    </row>
    <row r="16" spans="1:20" ht="26.4" x14ac:dyDescent="0.3">
      <c r="A16" s="5" t="s">
        <v>100</v>
      </c>
      <c r="B16" s="15" t="s">
        <v>101</v>
      </c>
      <c r="C16" s="7" t="e">
        <f>B14/B7</f>
        <v>#VALUE!</v>
      </c>
      <c r="D16" s="7" t="s">
        <v>79</v>
      </c>
    </row>
    <row r="17" spans="1:4" ht="26.4" x14ac:dyDescent="0.3">
      <c r="A17" s="2" t="s">
        <v>102</v>
      </c>
      <c r="B17" s="14"/>
      <c r="C17" s="4" t="str">
        <f>IF(B12&lt;1,"STABLE ✅","UNSTABLE ❌")</f>
        <v>UNSTABLE ❌</v>
      </c>
      <c r="D17" s="4"/>
    </row>
    <row r="19" spans="1:4" x14ac:dyDescent="0.3">
      <c r="A19" s="25" t="s">
        <v>103</v>
      </c>
      <c r="B19" s="21"/>
      <c r="C19" s="21"/>
      <c r="D19" s="21"/>
    </row>
    <row r="20" spans="1:4" x14ac:dyDescent="0.3">
      <c r="A20" s="8" t="s">
        <v>104</v>
      </c>
      <c r="B20" s="8" t="s">
        <v>105</v>
      </c>
      <c r="C20" s="8" t="s">
        <v>94</v>
      </c>
      <c r="D20" s="8" t="s">
        <v>106</v>
      </c>
    </row>
    <row r="21" spans="1:4" x14ac:dyDescent="0.3">
      <c r="A21" s="14">
        <v>1</v>
      </c>
      <c r="B21" s="4">
        <v>0.66220000000000001</v>
      </c>
      <c r="C21" s="4">
        <v>1.2983</v>
      </c>
      <c r="D21" s="4">
        <v>3.6114000000000002</v>
      </c>
    </row>
    <row r="22" spans="1:4" x14ac:dyDescent="0.3">
      <c r="A22" s="15">
        <v>2</v>
      </c>
      <c r="B22" s="7">
        <v>0.33110000000000001</v>
      </c>
      <c r="C22" s="7">
        <v>8.2000000000000003E-2</v>
      </c>
      <c r="D22" s="7">
        <v>0.2271</v>
      </c>
    </row>
    <row r="23" spans="1:4" x14ac:dyDescent="0.3">
      <c r="A23" s="14">
        <v>3</v>
      </c>
      <c r="B23" s="4">
        <v>0.22070000000000001</v>
      </c>
      <c r="C23" s="4">
        <v>8.9999999999999993E-3</v>
      </c>
      <c r="D23" s="4">
        <v>2.5000000000000001E-2</v>
      </c>
    </row>
  </sheetData>
  <mergeCells count="8">
    <mergeCell ref="I1:L1"/>
    <mergeCell ref="M1:P1"/>
    <mergeCell ref="Q1:T1"/>
    <mergeCell ref="A1:D1"/>
    <mergeCell ref="A19:D19"/>
    <mergeCell ref="A3:D3"/>
    <mergeCell ref="A10:D10"/>
    <mergeCell ref="E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sqref="A1:M1"/>
    </sheetView>
  </sheetViews>
  <sheetFormatPr defaultRowHeight="14.4" x14ac:dyDescent="0.3"/>
  <cols>
    <col min="1" max="1" width="6" customWidth="1"/>
    <col min="2" max="5" width="10" customWidth="1"/>
    <col min="6" max="6" width="9" customWidth="1"/>
    <col min="7" max="8" width="10" customWidth="1"/>
    <col min="9" max="9" width="9" customWidth="1"/>
    <col min="10" max="11" width="10" customWidth="1"/>
    <col min="12" max="13" width="8" customWidth="1"/>
  </cols>
  <sheetData>
    <row r="1" spans="1:13" ht="28.05" customHeight="1" x14ac:dyDescent="0.3">
      <c r="A1" s="24" t="s">
        <v>107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s="8" t="s">
        <v>108</v>
      </c>
      <c r="B2" s="8" t="s">
        <v>109</v>
      </c>
      <c r="C2" s="8" t="s">
        <v>110</v>
      </c>
      <c r="D2" s="8" t="s">
        <v>111</v>
      </c>
      <c r="E2" s="8" t="s">
        <v>112</v>
      </c>
      <c r="F2" s="8" t="s">
        <v>113</v>
      </c>
      <c r="G2" s="8" t="s">
        <v>114</v>
      </c>
      <c r="H2" s="8" t="s">
        <v>115</v>
      </c>
      <c r="I2" s="8" t="s">
        <v>116</v>
      </c>
      <c r="J2" s="8" t="s">
        <v>117</v>
      </c>
      <c r="K2" s="8" t="s">
        <v>118</v>
      </c>
      <c r="L2" s="8" t="s">
        <v>119</v>
      </c>
      <c r="M2" s="8" t="s">
        <v>120</v>
      </c>
    </row>
    <row r="3" spans="1:13" x14ac:dyDescent="0.3">
      <c r="A3" s="16">
        <v>1</v>
      </c>
      <c r="B3" s="16" t="s">
        <v>38</v>
      </c>
      <c r="C3" s="17">
        <v>1.4079999999999999</v>
      </c>
      <c r="D3" s="17">
        <v>1.4079999999999999</v>
      </c>
      <c r="E3" s="17">
        <v>1.8129999999999999</v>
      </c>
      <c r="F3" s="17">
        <v>0</v>
      </c>
      <c r="G3" s="17">
        <v>1.8129999999999999</v>
      </c>
      <c r="H3" s="17">
        <v>2.968</v>
      </c>
      <c r="I3" s="17">
        <v>0</v>
      </c>
      <c r="J3" s="17">
        <v>4.1449999999999996</v>
      </c>
      <c r="K3" s="17">
        <v>2.7370000000000001</v>
      </c>
      <c r="L3" s="17">
        <v>0</v>
      </c>
      <c r="M3" s="17">
        <v>0</v>
      </c>
    </row>
    <row r="4" spans="1:13" x14ac:dyDescent="0.3">
      <c r="A4" s="16">
        <v>2</v>
      </c>
      <c r="B4" s="16" t="s">
        <v>38</v>
      </c>
      <c r="C4" s="17">
        <v>10.438000000000001</v>
      </c>
      <c r="D4" s="17">
        <v>10.438000000000001</v>
      </c>
      <c r="E4" s="17">
        <v>11.164</v>
      </c>
      <c r="F4" s="17">
        <v>0</v>
      </c>
      <c r="G4" s="17">
        <v>11.164</v>
      </c>
      <c r="H4" s="17">
        <v>12.776</v>
      </c>
      <c r="I4" s="17">
        <v>0</v>
      </c>
      <c r="J4" s="17">
        <v>14.167999999999999</v>
      </c>
      <c r="K4" s="17">
        <v>3.73</v>
      </c>
      <c r="L4" s="17">
        <v>0</v>
      </c>
      <c r="M4" s="17">
        <v>0</v>
      </c>
    </row>
    <row r="5" spans="1:13" x14ac:dyDescent="0.3">
      <c r="A5" s="14">
        <v>3</v>
      </c>
      <c r="B5" s="14" t="s">
        <v>37</v>
      </c>
      <c r="C5" s="4">
        <v>14.388</v>
      </c>
      <c r="D5" s="4">
        <v>14.388</v>
      </c>
      <c r="E5" s="4">
        <v>15.875999999999999</v>
      </c>
      <c r="F5" s="4">
        <v>0</v>
      </c>
      <c r="G5" s="4">
        <v>15.875999999999999</v>
      </c>
      <c r="H5" s="4">
        <v>17.196000000000002</v>
      </c>
      <c r="I5" s="4">
        <v>0</v>
      </c>
      <c r="J5" s="4">
        <v>18.286999999999999</v>
      </c>
      <c r="K5" s="4">
        <v>3.8980000000000001</v>
      </c>
      <c r="L5" s="4">
        <v>0</v>
      </c>
      <c r="M5" s="4">
        <v>0</v>
      </c>
    </row>
    <row r="6" spans="1:13" x14ac:dyDescent="0.3">
      <c r="A6" s="15">
        <v>4</v>
      </c>
      <c r="B6" s="15" t="s">
        <v>37</v>
      </c>
      <c r="C6" s="7">
        <v>17.126999999999999</v>
      </c>
      <c r="D6" s="7">
        <v>17.126999999999999</v>
      </c>
      <c r="E6" s="7">
        <v>18.257999999999999</v>
      </c>
      <c r="F6" s="7">
        <v>0</v>
      </c>
      <c r="G6" s="7">
        <v>18.257999999999999</v>
      </c>
      <c r="H6" s="7">
        <v>19.670999999999999</v>
      </c>
      <c r="I6" s="7">
        <v>0</v>
      </c>
      <c r="J6" s="7">
        <v>21.321000000000002</v>
      </c>
      <c r="K6" s="7">
        <v>4.194</v>
      </c>
      <c r="L6" s="7">
        <v>0</v>
      </c>
      <c r="M6" s="7">
        <v>0</v>
      </c>
    </row>
    <row r="7" spans="1:13" x14ac:dyDescent="0.3">
      <c r="A7" s="14">
        <v>5</v>
      </c>
      <c r="B7" s="14" t="s">
        <v>37</v>
      </c>
      <c r="C7" s="4">
        <v>17.635999999999999</v>
      </c>
      <c r="D7" s="4">
        <v>18.257999999999999</v>
      </c>
      <c r="E7" s="4">
        <v>18.946999999999999</v>
      </c>
      <c r="F7" s="4">
        <v>0.622</v>
      </c>
      <c r="G7" s="4">
        <v>19.670999999999999</v>
      </c>
      <c r="H7" s="4">
        <v>20.99</v>
      </c>
      <c r="I7" s="4">
        <v>0.72399999999999998</v>
      </c>
      <c r="J7" s="4">
        <v>23.099</v>
      </c>
      <c r="K7" s="4">
        <v>5.4630000000000001</v>
      </c>
      <c r="L7" s="4">
        <v>1</v>
      </c>
      <c r="M7" s="4">
        <v>1</v>
      </c>
    </row>
    <row r="8" spans="1:13" x14ac:dyDescent="0.3">
      <c r="A8" s="15">
        <v>6</v>
      </c>
      <c r="B8" s="15" t="s">
        <v>37</v>
      </c>
      <c r="C8" s="7">
        <v>18.145</v>
      </c>
      <c r="D8" s="7">
        <v>18.946999999999999</v>
      </c>
      <c r="E8" s="7">
        <v>20.838999999999999</v>
      </c>
      <c r="F8" s="7">
        <v>0.80200000000000005</v>
      </c>
      <c r="G8" s="7">
        <v>20.99</v>
      </c>
      <c r="H8" s="7">
        <v>23.045999999999999</v>
      </c>
      <c r="I8" s="7">
        <v>0.151</v>
      </c>
      <c r="J8" s="7">
        <v>24.641999999999999</v>
      </c>
      <c r="K8" s="7">
        <v>6.4969999999999999</v>
      </c>
      <c r="L8" s="7">
        <v>2</v>
      </c>
      <c r="M8" s="7">
        <v>1</v>
      </c>
    </row>
    <row r="9" spans="1:13" x14ac:dyDescent="0.3">
      <c r="A9" s="16">
        <v>7</v>
      </c>
      <c r="B9" s="16" t="s">
        <v>38</v>
      </c>
      <c r="C9" s="17">
        <v>18.324000000000002</v>
      </c>
      <c r="D9" s="17">
        <v>20.838999999999999</v>
      </c>
      <c r="E9" s="17">
        <v>21.14</v>
      </c>
      <c r="F9" s="18">
        <v>2.5150000000000001</v>
      </c>
      <c r="G9" s="17">
        <v>23.045999999999999</v>
      </c>
      <c r="H9" s="17">
        <v>24.542000000000002</v>
      </c>
      <c r="I9" s="18">
        <v>1.9059999999999999</v>
      </c>
      <c r="J9" s="17">
        <v>27.298999999999999</v>
      </c>
      <c r="K9" s="17">
        <v>8.9749999999999996</v>
      </c>
      <c r="L9" s="17">
        <v>2</v>
      </c>
      <c r="M9" s="17">
        <v>2</v>
      </c>
    </row>
    <row r="10" spans="1:13" x14ac:dyDescent="0.3">
      <c r="A10" s="15">
        <v>8</v>
      </c>
      <c r="B10" s="15" t="s">
        <v>37</v>
      </c>
      <c r="C10" s="7">
        <v>24.358000000000001</v>
      </c>
      <c r="D10" s="7">
        <v>24.358000000000001</v>
      </c>
      <c r="E10" s="7">
        <v>25.048999999999999</v>
      </c>
      <c r="F10" s="7">
        <v>0</v>
      </c>
      <c r="G10" s="7">
        <v>25.048999999999999</v>
      </c>
      <c r="H10" s="7">
        <v>26.231999999999999</v>
      </c>
      <c r="I10" s="7">
        <v>0</v>
      </c>
      <c r="J10" s="7">
        <v>29.012</v>
      </c>
      <c r="K10" s="7">
        <v>4.6539999999999999</v>
      </c>
      <c r="L10" s="7">
        <v>0</v>
      </c>
      <c r="M10" s="7">
        <v>0</v>
      </c>
    </row>
    <row r="11" spans="1:13" x14ac:dyDescent="0.3">
      <c r="A11" s="16">
        <v>9</v>
      </c>
      <c r="B11" s="16" t="s">
        <v>38</v>
      </c>
      <c r="C11" s="17">
        <v>27.114999999999998</v>
      </c>
      <c r="D11" s="17">
        <v>27.114999999999998</v>
      </c>
      <c r="E11" s="17">
        <v>28.027999999999999</v>
      </c>
      <c r="F11" s="17">
        <v>0</v>
      </c>
      <c r="G11" s="17">
        <v>28.027999999999999</v>
      </c>
      <c r="H11" s="17">
        <v>29.774999999999999</v>
      </c>
      <c r="I11" s="17">
        <v>0</v>
      </c>
      <c r="J11" s="17">
        <v>31.337</v>
      </c>
      <c r="K11" s="17">
        <v>4.2210000000000001</v>
      </c>
      <c r="L11" s="17">
        <v>0</v>
      </c>
      <c r="M11" s="17">
        <v>0</v>
      </c>
    </row>
    <row r="12" spans="1:13" x14ac:dyDescent="0.3">
      <c r="A12" s="15">
        <v>10</v>
      </c>
      <c r="B12" s="15" t="s">
        <v>37</v>
      </c>
      <c r="C12" s="7">
        <v>30.809000000000001</v>
      </c>
      <c r="D12" s="7">
        <v>30.809000000000001</v>
      </c>
      <c r="E12" s="7">
        <v>32.027000000000001</v>
      </c>
      <c r="F12" s="7">
        <v>0</v>
      </c>
      <c r="G12" s="7">
        <v>32.027000000000001</v>
      </c>
      <c r="H12" s="7">
        <v>33.161000000000001</v>
      </c>
      <c r="I12" s="7">
        <v>0</v>
      </c>
      <c r="J12" s="7">
        <v>35.246000000000002</v>
      </c>
      <c r="K12" s="7">
        <v>4.4370000000000003</v>
      </c>
      <c r="L12" s="7">
        <v>0</v>
      </c>
      <c r="M12" s="7">
        <v>0</v>
      </c>
    </row>
    <row r="13" spans="1:13" x14ac:dyDescent="0.3">
      <c r="A13" s="14">
        <v>11</v>
      </c>
      <c r="B13" s="14" t="s">
        <v>37</v>
      </c>
      <c r="C13" s="4">
        <v>30.872</v>
      </c>
      <c r="D13" s="4">
        <v>32.027000000000001</v>
      </c>
      <c r="E13" s="4">
        <v>35.103000000000002</v>
      </c>
      <c r="F13" s="4">
        <v>1.155</v>
      </c>
      <c r="G13" s="4">
        <v>35.103000000000002</v>
      </c>
      <c r="H13" s="4">
        <v>36.665999999999997</v>
      </c>
      <c r="I13" s="4">
        <v>0</v>
      </c>
      <c r="J13" s="4">
        <v>37.947000000000003</v>
      </c>
      <c r="K13" s="4">
        <v>7.0759999999999996</v>
      </c>
      <c r="L13" s="4">
        <v>1</v>
      </c>
      <c r="M13" s="4">
        <v>0</v>
      </c>
    </row>
    <row r="14" spans="1:13" x14ac:dyDescent="0.3">
      <c r="A14" s="15">
        <v>12</v>
      </c>
      <c r="B14" s="15" t="s">
        <v>37</v>
      </c>
      <c r="C14" s="7">
        <v>41.381999999999998</v>
      </c>
      <c r="D14" s="7">
        <v>41.381999999999998</v>
      </c>
      <c r="E14" s="7">
        <v>41.828000000000003</v>
      </c>
      <c r="F14" s="7">
        <v>0</v>
      </c>
      <c r="G14" s="7">
        <v>41.828000000000003</v>
      </c>
      <c r="H14" s="7">
        <v>42.74</v>
      </c>
      <c r="I14" s="7">
        <v>0</v>
      </c>
      <c r="J14" s="7">
        <v>45.344000000000001</v>
      </c>
      <c r="K14" s="7">
        <v>3.9620000000000002</v>
      </c>
      <c r="L14" s="7">
        <v>0</v>
      </c>
      <c r="M14" s="7">
        <v>0</v>
      </c>
    </row>
    <row r="15" spans="1:13" x14ac:dyDescent="0.3">
      <c r="A15" s="16">
        <v>13</v>
      </c>
      <c r="B15" s="16" t="s">
        <v>38</v>
      </c>
      <c r="C15" s="17">
        <v>46.741</v>
      </c>
      <c r="D15" s="17">
        <v>46.741</v>
      </c>
      <c r="E15" s="17">
        <v>48.186</v>
      </c>
      <c r="F15" s="17">
        <v>0</v>
      </c>
      <c r="G15" s="17">
        <v>48.186</v>
      </c>
      <c r="H15" s="17">
        <v>49.286999999999999</v>
      </c>
      <c r="I15" s="17">
        <v>0</v>
      </c>
      <c r="J15" s="17">
        <v>50.436</v>
      </c>
      <c r="K15" s="17">
        <v>3.6949999999999998</v>
      </c>
      <c r="L15" s="17">
        <v>0</v>
      </c>
      <c r="M15" s="17">
        <v>0</v>
      </c>
    </row>
    <row r="16" spans="1:13" x14ac:dyDescent="0.3">
      <c r="A16" s="15">
        <v>14</v>
      </c>
      <c r="B16" s="15" t="s">
        <v>37</v>
      </c>
      <c r="C16" s="7">
        <v>47.457999999999998</v>
      </c>
      <c r="D16" s="7">
        <v>48.186</v>
      </c>
      <c r="E16" s="7">
        <v>49.981000000000002</v>
      </c>
      <c r="F16" s="7">
        <v>0.72799999999999998</v>
      </c>
      <c r="G16" s="7">
        <v>49.981000000000002</v>
      </c>
      <c r="H16" s="7">
        <v>51.54</v>
      </c>
      <c r="I16" s="7">
        <v>0</v>
      </c>
      <c r="J16" s="7">
        <v>54.512999999999998</v>
      </c>
      <c r="K16" s="7">
        <v>7.056</v>
      </c>
      <c r="L16" s="7">
        <v>1</v>
      </c>
      <c r="M16" s="7">
        <v>0</v>
      </c>
    </row>
    <row r="17" spans="1:13" x14ac:dyDescent="0.3">
      <c r="A17" s="14">
        <v>15</v>
      </c>
      <c r="B17" s="14" t="s">
        <v>37</v>
      </c>
      <c r="C17" s="4">
        <v>48.06</v>
      </c>
      <c r="D17" s="4">
        <v>49.981000000000002</v>
      </c>
      <c r="E17" s="4">
        <v>50.076000000000001</v>
      </c>
      <c r="F17" s="18">
        <v>1.921</v>
      </c>
      <c r="G17" s="4">
        <v>51.54</v>
      </c>
      <c r="H17" s="4">
        <v>53.261000000000003</v>
      </c>
      <c r="I17" s="4">
        <v>1.464</v>
      </c>
      <c r="J17" s="4">
        <v>57.058</v>
      </c>
      <c r="K17" s="4">
        <v>8.9979999999999993</v>
      </c>
      <c r="L17" s="4">
        <v>2</v>
      </c>
      <c r="M17" s="4">
        <v>1</v>
      </c>
    </row>
    <row r="19" spans="1:13" x14ac:dyDescent="0.3">
      <c r="A19" s="23" t="s">
        <v>39</v>
      </c>
      <c r="B19" s="26"/>
      <c r="C19" s="19">
        <f t="shared" ref="C19:M19" si="0">AVERAGE(C3:C18)</f>
        <v>26.284066666666668</v>
      </c>
      <c r="D19" s="19">
        <f t="shared" si="0"/>
        <v>26.800266666666666</v>
      </c>
      <c r="E19" s="19">
        <f t="shared" si="0"/>
        <v>27.887666666666668</v>
      </c>
      <c r="F19" s="19">
        <f t="shared" si="0"/>
        <v>0.51619999999999999</v>
      </c>
      <c r="G19" s="19">
        <f t="shared" si="0"/>
        <v>28.170666666666669</v>
      </c>
      <c r="H19" s="19">
        <f t="shared" si="0"/>
        <v>29.590066666666665</v>
      </c>
      <c r="I19" s="19">
        <f t="shared" si="0"/>
        <v>0.28299999999999997</v>
      </c>
      <c r="J19" s="19">
        <f t="shared" si="0"/>
        <v>31.590266666666661</v>
      </c>
      <c r="K19" s="19">
        <f t="shared" si="0"/>
        <v>5.3062000000000005</v>
      </c>
      <c r="L19" s="19">
        <f t="shared" si="0"/>
        <v>0.6</v>
      </c>
      <c r="M19" s="19">
        <f t="shared" si="0"/>
        <v>0.33333333333333331</v>
      </c>
    </row>
  </sheetData>
  <mergeCells count="2">
    <mergeCell ref="A19:B19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sqref="A1:C1"/>
    </sheetView>
  </sheetViews>
  <sheetFormatPr defaultRowHeight="14.4" x14ac:dyDescent="0.3"/>
  <cols>
    <col min="1" max="1" width="22" customWidth="1"/>
    <col min="2" max="2" width="14" customWidth="1"/>
    <col min="3" max="3" width="50" customWidth="1"/>
  </cols>
  <sheetData>
    <row r="1" spans="1:3" ht="28.05" customHeight="1" x14ac:dyDescent="0.3">
      <c r="A1" s="24" t="s">
        <v>121</v>
      </c>
      <c r="B1" s="21"/>
      <c r="C1" s="21"/>
    </row>
    <row r="2" spans="1:3" x14ac:dyDescent="0.3">
      <c r="A2" s="8" t="s">
        <v>54</v>
      </c>
      <c r="B2" s="8" t="s">
        <v>109</v>
      </c>
      <c r="C2" s="8" t="s">
        <v>122</v>
      </c>
    </row>
    <row r="3" spans="1:3" x14ac:dyDescent="0.3">
      <c r="A3" s="2" t="s">
        <v>123</v>
      </c>
      <c r="B3" s="4" t="s">
        <v>124</v>
      </c>
      <c r="C3" s="3" t="s">
        <v>125</v>
      </c>
    </row>
    <row r="4" spans="1:3" x14ac:dyDescent="0.3">
      <c r="A4" s="5" t="s">
        <v>126</v>
      </c>
      <c r="B4" s="7" t="s">
        <v>124</v>
      </c>
      <c r="C4" s="6" t="s">
        <v>127</v>
      </c>
    </row>
    <row r="5" spans="1:3" x14ac:dyDescent="0.3">
      <c r="A5" s="2" t="s">
        <v>128</v>
      </c>
      <c r="B5" s="4" t="s">
        <v>129</v>
      </c>
      <c r="C5" s="3" t="s">
        <v>130</v>
      </c>
    </row>
    <row r="6" spans="1:3" x14ac:dyDescent="0.3">
      <c r="A6" s="5" t="s">
        <v>131</v>
      </c>
      <c r="B6" s="7" t="s">
        <v>132</v>
      </c>
      <c r="C6" s="6" t="s">
        <v>133</v>
      </c>
    </row>
    <row r="7" spans="1:3" x14ac:dyDescent="0.3">
      <c r="A7" s="2" t="s">
        <v>134</v>
      </c>
      <c r="B7" s="4" t="s">
        <v>124</v>
      </c>
      <c r="C7" s="3" t="s">
        <v>135</v>
      </c>
    </row>
    <row r="8" spans="1:3" x14ac:dyDescent="0.3">
      <c r="A8" s="5" t="s">
        <v>136</v>
      </c>
      <c r="B8" s="7" t="s">
        <v>124</v>
      </c>
      <c r="C8" s="6" t="s">
        <v>137</v>
      </c>
    </row>
    <row r="9" spans="1:3" x14ac:dyDescent="0.3">
      <c r="A9" s="2" t="s">
        <v>138</v>
      </c>
      <c r="B9" s="4" t="s">
        <v>139</v>
      </c>
      <c r="C9" s="3" t="s">
        <v>140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sqref="A1:C1"/>
    </sheetView>
  </sheetViews>
  <sheetFormatPr defaultRowHeight="14.4" x14ac:dyDescent="0.3"/>
  <cols>
    <col min="1" max="1" width="22" customWidth="1"/>
    <col min="2" max="2" width="35" customWidth="1"/>
    <col min="3" max="3" width="40" customWidth="1"/>
  </cols>
  <sheetData>
    <row r="1" spans="1:3" ht="28.05" customHeight="1" x14ac:dyDescent="0.3">
      <c r="A1" s="24" t="s">
        <v>141</v>
      </c>
      <c r="B1" s="21"/>
      <c r="C1" s="21"/>
    </row>
    <row r="2" spans="1:3" x14ac:dyDescent="0.3">
      <c r="A2" s="8" t="s">
        <v>142</v>
      </c>
      <c r="B2" s="8" t="s">
        <v>143</v>
      </c>
      <c r="C2" s="8" t="s">
        <v>144</v>
      </c>
    </row>
    <row r="3" spans="1:3" x14ac:dyDescent="0.3">
      <c r="A3" s="2" t="s">
        <v>145</v>
      </c>
      <c r="B3" s="3" t="s">
        <v>146</v>
      </c>
      <c r="C3" s="3" t="s">
        <v>147</v>
      </c>
    </row>
    <row r="4" spans="1:3" x14ac:dyDescent="0.3">
      <c r="A4" s="5" t="s">
        <v>148</v>
      </c>
      <c r="B4" s="6" t="s">
        <v>149</v>
      </c>
      <c r="C4" s="6" t="s">
        <v>150</v>
      </c>
    </row>
    <row r="5" spans="1:3" x14ac:dyDescent="0.3">
      <c r="A5" s="2" t="s">
        <v>151</v>
      </c>
      <c r="B5" s="3" t="s">
        <v>152</v>
      </c>
      <c r="C5" s="3" t="s">
        <v>153</v>
      </c>
    </row>
    <row r="6" spans="1:3" x14ac:dyDescent="0.3">
      <c r="A6" s="5" t="s">
        <v>154</v>
      </c>
      <c r="B6" s="6" t="s">
        <v>155</v>
      </c>
      <c r="C6" s="6" t="s">
        <v>156</v>
      </c>
    </row>
    <row r="7" spans="1:3" x14ac:dyDescent="0.3">
      <c r="A7" s="2" t="s">
        <v>157</v>
      </c>
      <c r="B7" s="3" t="s">
        <v>152</v>
      </c>
      <c r="C7" s="3" t="s">
        <v>158</v>
      </c>
    </row>
    <row r="8" spans="1:3" x14ac:dyDescent="0.3">
      <c r="A8" s="5" t="s">
        <v>159</v>
      </c>
      <c r="B8" s="6" t="s">
        <v>160</v>
      </c>
      <c r="C8" s="6" t="s">
        <v>161</v>
      </c>
    </row>
    <row r="9" spans="1:3" x14ac:dyDescent="0.3">
      <c r="A9" s="2" t="s">
        <v>162</v>
      </c>
      <c r="B9" s="3" t="s">
        <v>163</v>
      </c>
      <c r="C9" s="3" t="s">
        <v>156</v>
      </c>
    </row>
    <row r="10" spans="1:3" x14ac:dyDescent="0.3">
      <c r="A10" s="5" t="s">
        <v>164</v>
      </c>
      <c r="B10" s="6" t="s">
        <v>165</v>
      </c>
      <c r="C10" s="6" t="s">
        <v>166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selection sqref="A1:E1"/>
    </sheetView>
  </sheetViews>
  <sheetFormatPr defaultRowHeight="14.4" x14ac:dyDescent="0.3"/>
  <cols>
    <col min="1" max="1" width="12" customWidth="1"/>
    <col min="2" max="3" width="20" customWidth="1"/>
    <col min="4" max="5" width="18" customWidth="1"/>
  </cols>
  <sheetData>
    <row r="1" spans="1:5" ht="28.05" customHeight="1" x14ac:dyDescent="0.3">
      <c r="A1" s="24" t="s">
        <v>167</v>
      </c>
      <c r="B1" s="21"/>
      <c r="C1" s="21"/>
      <c r="D1" s="21"/>
      <c r="E1" s="21"/>
    </row>
    <row r="2" spans="1:5" ht="26.4" x14ac:dyDescent="0.3">
      <c r="A2" s="8" t="s">
        <v>168</v>
      </c>
      <c r="B2" s="8" t="s">
        <v>169</v>
      </c>
      <c r="C2" s="8" t="s">
        <v>170</v>
      </c>
      <c r="D2" s="8" t="s">
        <v>171</v>
      </c>
      <c r="E2" s="8" t="s">
        <v>172</v>
      </c>
    </row>
    <row r="3" spans="1:5" x14ac:dyDescent="0.3">
      <c r="A3" s="14">
        <v>1</v>
      </c>
      <c r="B3" s="4">
        <v>21.177</v>
      </c>
      <c r="C3" s="4">
        <v>15.476000000000001</v>
      </c>
      <c r="D3" s="4">
        <v>2.9369999999999998</v>
      </c>
      <c r="E3" s="4">
        <v>149</v>
      </c>
    </row>
    <row r="4" spans="1:5" x14ac:dyDescent="0.3">
      <c r="A4" s="15">
        <v>2</v>
      </c>
      <c r="B4" s="7">
        <v>14.407</v>
      </c>
      <c r="C4" s="7">
        <v>8.2219999999999995</v>
      </c>
      <c r="D4" s="7">
        <v>1.244</v>
      </c>
      <c r="E4" s="7">
        <v>128</v>
      </c>
    </row>
    <row r="5" spans="1:5" x14ac:dyDescent="0.3">
      <c r="A5" s="14">
        <v>3</v>
      </c>
      <c r="B5" s="4">
        <v>11.792</v>
      </c>
      <c r="C5" s="4">
        <v>6.3650000000000002</v>
      </c>
      <c r="D5" s="4">
        <v>1.6639999999999999</v>
      </c>
      <c r="E5" s="4">
        <v>138</v>
      </c>
    </row>
    <row r="6" spans="1:5" x14ac:dyDescent="0.3">
      <c r="A6" s="15">
        <v>4</v>
      </c>
      <c r="B6" s="7">
        <v>36.814</v>
      </c>
      <c r="C6" s="7">
        <v>30.652000000000001</v>
      </c>
      <c r="D6" s="7">
        <v>4.8120000000000003</v>
      </c>
      <c r="E6" s="7">
        <v>142</v>
      </c>
    </row>
    <row r="7" spans="1:5" x14ac:dyDescent="0.3">
      <c r="A7" s="14">
        <v>5</v>
      </c>
      <c r="B7" s="4">
        <v>29.437999999999999</v>
      </c>
      <c r="C7" s="4">
        <v>22.978000000000002</v>
      </c>
      <c r="D7" s="4">
        <v>1.2410000000000001</v>
      </c>
      <c r="E7" s="4">
        <v>130</v>
      </c>
    </row>
    <row r="8" spans="1:5" x14ac:dyDescent="0.3">
      <c r="A8" s="15">
        <v>6</v>
      </c>
      <c r="B8" s="7">
        <v>26.645</v>
      </c>
      <c r="C8" s="7">
        <v>20.878</v>
      </c>
      <c r="D8" s="7">
        <v>5.8680000000000003</v>
      </c>
      <c r="E8" s="7">
        <v>166</v>
      </c>
    </row>
    <row r="9" spans="1:5" x14ac:dyDescent="0.3">
      <c r="A9" s="14">
        <v>7</v>
      </c>
      <c r="B9" s="4">
        <v>10.853</v>
      </c>
      <c r="C9" s="4">
        <v>5.6959999999999997</v>
      </c>
      <c r="D9" s="4">
        <v>1.5</v>
      </c>
      <c r="E9" s="4">
        <v>145</v>
      </c>
    </row>
    <row r="10" spans="1:5" x14ac:dyDescent="0.3">
      <c r="A10" s="15">
        <v>8</v>
      </c>
      <c r="B10" s="7">
        <v>10.739000000000001</v>
      </c>
      <c r="C10" s="7">
        <v>5.4210000000000003</v>
      </c>
      <c r="D10" s="7">
        <v>1.1950000000000001</v>
      </c>
      <c r="E10" s="7">
        <v>134</v>
      </c>
    </row>
    <row r="11" spans="1:5" x14ac:dyDescent="0.3">
      <c r="A11" s="14">
        <v>9</v>
      </c>
      <c r="B11" s="4">
        <v>13.938000000000001</v>
      </c>
      <c r="C11" s="4">
        <v>8.2490000000000006</v>
      </c>
      <c r="D11" s="4">
        <v>2.206</v>
      </c>
      <c r="E11" s="4">
        <v>142</v>
      </c>
    </row>
    <row r="12" spans="1:5" x14ac:dyDescent="0.3">
      <c r="A12" s="15">
        <v>10</v>
      </c>
      <c r="B12" s="7">
        <v>22.103999999999999</v>
      </c>
      <c r="C12" s="7">
        <v>16.192</v>
      </c>
      <c r="D12" s="7">
        <v>1.9510000000000001</v>
      </c>
      <c r="E12" s="7">
        <v>164</v>
      </c>
    </row>
    <row r="13" spans="1:5" x14ac:dyDescent="0.3">
      <c r="A13" s="14">
        <v>11</v>
      </c>
      <c r="B13" s="4">
        <v>25.792999999999999</v>
      </c>
      <c r="C13" s="4">
        <v>19.870999999999999</v>
      </c>
      <c r="D13" s="4">
        <v>1.829</v>
      </c>
      <c r="E13" s="4">
        <v>168</v>
      </c>
    </row>
    <row r="14" spans="1:5" x14ac:dyDescent="0.3">
      <c r="A14" s="15">
        <v>12</v>
      </c>
      <c r="B14" s="7">
        <v>19.977</v>
      </c>
      <c r="C14" s="7">
        <v>14.101000000000001</v>
      </c>
      <c r="D14" s="7">
        <v>2.6669999999999998</v>
      </c>
      <c r="E14" s="7">
        <v>162</v>
      </c>
    </row>
    <row r="15" spans="1:5" x14ac:dyDescent="0.3">
      <c r="A15" s="14">
        <v>13</v>
      </c>
      <c r="B15" s="4">
        <v>11.226000000000001</v>
      </c>
      <c r="C15" s="4">
        <v>5.8310000000000004</v>
      </c>
      <c r="D15" s="4">
        <v>1.657</v>
      </c>
      <c r="E15" s="4">
        <v>137</v>
      </c>
    </row>
    <row r="16" spans="1:5" x14ac:dyDescent="0.3">
      <c r="A16" s="15">
        <v>14</v>
      </c>
      <c r="B16" s="7">
        <v>37.423999999999999</v>
      </c>
      <c r="C16" s="7">
        <v>31.288</v>
      </c>
      <c r="D16" s="7">
        <v>3.04</v>
      </c>
      <c r="E16" s="7">
        <v>139</v>
      </c>
    </row>
    <row r="17" spans="1:5" x14ac:dyDescent="0.3">
      <c r="A17" s="14">
        <v>15</v>
      </c>
      <c r="B17" s="4">
        <v>11.069000000000001</v>
      </c>
      <c r="C17" s="4">
        <v>5.2729999999999997</v>
      </c>
      <c r="D17" s="4">
        <v>1.764</v>
      </c>
      <c r="E17" s="4">
        <v>130</v>
      </c>
    </row>
    <row r="18" spans="1:5" x14ac:dyDescent="0.3">
      <c r="A18" s="15">
        <v>16</v>
      </c>
      <c r="B18" s="7">
        <v>17.349</v>
      </c>
      <c r="C18" s="7">
        <v>11.907</v>
      </c>
      <c r="D18" s="7">
        <v>1.665</v>
      </c>
      <c r="E18" s="7">
        <v>165</v>
      </c>
    </row>
    <row r="19" spans="1:5" x14ac:dyDescent="0.3">
      <c r="A19" s="14">
        <v>17</v>
      </c>
      <c r="B19" s="4">
        <v>17.026</v>
      </c>
      <c r="C19" s="4">
        <v>11.154</v>
      </c>
      <c r="D19" s="4">
        <v>1.1719999999999999</v>
      </c>
      <c r="E19" s="4">
        <v>140</v>
      </c>
    </row>
    <row r="20" spans="1:5" x14ac:dyDescent="0.3">
      <c r="A20" s="15">
        <v>18</v>
      </c>
      <c r="B20" s="7">
        <v>14.234</v>
      </c>
      <c r="C20" s="7">
        <v>8.5109999999999992</v>
      </c>
      <c r="D20" s="7">
        <v>1.456</v>
      </c>
      <c r="E20" s="7">
        <v>151</v>
      </c>
    </row>
    <row r="21" spans="1:5" x14ac:dyDescent="0.3">
      <c r="A21" s="14">
        <v>19</v>
      </c>
      <c r="B21" s="4">
        <v>19.097000000000001</v>
      </c>
      <c r="C21" s="4">
        <v>12.632</v>
      </c>
      <c r="D21" s="4">
        <v>3.415</v>
      </c>
      <c r="E21" s="4">
        <v>116</v>
      </c>
    </row>
    <row r="22" spans="1:5" x14ac:dyDescent="0.3">
      <c r="A22" s="15">
        <v>20</v>
      </c>
      <c r="B22" s="7">
        <v>11.227</v>
      </c>
      <c r="C22" s="7">
        <v>5.6390000000000002</v>
      </c>
      <c r="D22" s="7">
        <v>1.4550000000000001</v>
      </c>
      <c r="E22" s="7">
        <v>150</v>
      </c>
    </row>
    <row r="23" spans="1:5" x14ac:dyDescent="0.3">
      <c r="A23" s="14">
        <v>21</v>
      </c>
      <c r="B23" s="4">
        <v>11.448</v>
      </c>
      <c r="C23" s="4">
        <v>5.5209999999999999</v>
      </c>
      <c r="D23" s="4">
        <v>1.5760000000000001</v>
      </c>
      <c r="E23" s="4">
        <v>130</v>
      </c>
    </row>
    <row r="24" spans="1:5" x14ac:dyDescent="0.3">
      <c r="A24" s="15">
        <v>22</v>
      </c>
      <c r="B24" s="7">
        <v>11.345000000000001</v>
      </c>
      <c r="C24" s="7">
        <v>6.0279999999999996</v>
      </c>
      <c r="D24" s="7">
        <v>2.125</v>
      </c>
      <c r="E24" s="7">
        <v>145</v>
      </c>
    </row>
    <row r="25" spans="1:5" x14ac:dyDescent="0.3">
      <c r="A25" s="14">
        <v>23</v>
      </c>
      <c r="B25" s="4">
        <v>13.85</v>
      </c>
      <c r="C25" s="4">
        <v>7.7720000000000002</v>
      </c>
      <c r="D25" s="4">
        <v>1.31</v>
      </c>
      <c r="E25" s="4">
        <v>121</v>
      </c>
    </row>
    <row r="26" spans="1:5" x14ac:dyDescent="0.3">
      <c r="A26" s="15">
        <v>24</v>
      </c>
      <c r="B26" s="7">
        <v>15.282</v>
      </c>
      <c r="C26" s="7">
        <v>9.4619999999999997</v>
      </c>
      <c r="D26" s="7">
        <v>2.3199999999999998</v>
      </c>
      <c r="E26" s="7">
        <v>148</v>
      </c>
    </row>
    <row r="27" spans="1:5" x14ac:dyDescent="0.3">
      <c r="A27" s="14">
        <v>25</v>
      </c>
      <c r="B27" s="4">
        <v>13.771000000000001</v>
      </c>
      <c r="C27" s="4">
        <v>7.9790000000000001</v>
      </c>
      <c r="D27" s="4">
        <v>2.375</v>
      </c>
      <c r="E27" s="4">
        <v>123</v>
      </c>
    </row>
    <row r="28" spans="1:5" x14ac:dyDescent="0.3">
      <c r="A28" s="15">
        <v>26</v>
      </c>
      <c r="B28" s="7">
        <v>17.754999999999999</v>
      </c>
      <c r="C28" s="7">
        <v>11.887</v>
      </c>
      <c r="D28" s="7">
        <v>1.7589999999999999</v>
      </c>
      <c r="E28" s="7">
        <v>132</v>
      </c>
    </row>
    <row r="29" spans="1:5" x14ac:dyDescent="0.3">
      <c r="A29" s="14">
        <v>27</v>
      </c>
      <c r="B29" s="4">
        <v>42.625</v>
      </c>
      <c r="C29" s="4">
        <v>36.677</v>
      </c>
      <c r="D29" s="4">
        <v>1.1990000000000001</v>
      </c>
      <c r="E29" s="4">
        <v>150</v>
      </c>
    </row>
    <row r="30" spans="1:5" x14ac:dyDescent="0.3">
      <c r="A30" s="15">
        <v>28</v>
      </c>
      <c r="B30" s="7">
        <v>43.781999999999996</v>
      </c>
      <c r="C30" s="7">
        <v>37.271999999999998</v>
      </c>
      <c r="D30" s="7">
        <v>5.2130000000000001</v>
      </c>
      <c r="E30" s="7">
        <v>144</v>
      </c>
    </row>
    <row r="31" spans="1:5" x14ac:dyDescent="0.3">
      <c r="A31" s="14">
        <v>29</v>
      </c>
      <c r="B31" s="4">
        <v>12.394</v>
      </c>
      <c r="C31" s="4">
        <v>6.7939999999999996</v>
      </c>
      <c r="D31" s="4">
        <v>1.5660000000000001</v>
      </c>
      <c r="E31" s="4">
        <v>148</v>
      </c>
    </row>
    <row r="32" spans="1:5" x14ac:dyDescent="0.3">
      <c r="A32" s="15">
        <v>30</v>
      </c>
      <c r="B32" s="7">
        <v>12.465999999999999</v>
      </c>
      <c r="C32" s="7">
        <v>6.7569999999999997</v>
      </c>
      <c r="D32" s="7">
        <v>1.7270000000000001</v>
      </c>
      <c r="E32" s="7">
        <v>132</v>
      </c>
    </row>
    <row r="34" spans="1:5" x14ac:dyDescent="0.3">
      <c r="A34" s="23" t="s">
        <v>173</v>
      </c>
      <c r="B34" s="19">
        <f>AVERAGE(B3:B33)</f>
        <v>19.2349</v>
      </c>
      <c r="C34" s="19">
        <f>AVERAGE(C3:C33)</f>
        <v>13.416166666666667</v>
      </c>
      <c r="D34" s="19">
        <f>AVERAGE(D3:D33)</f>
        <v>2.1969333333333334</v>
      </c>
      <c r="E34" s="19">
        <f>AVERAGE(E3:E33)</f>
        <v>142.30000000000001</v>
      </c>
    </row>
  </sheetData>
  <mergeCells count="2">
    <mergeCell ref="A1:E1"/>
    <mergeCell ref="A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>
      <selection sqref="A1:E1"/>
    </sheetView>
  </sheetViews>
  <sheetFormatPr defaultRowHeight="14.4" x14ac:dyDescent="0.3"/>
  <cols>
    <col min="1" max="1" width="12" customWidth="1"/>
    <col min="2" max="3" width="20" customWidth="1"/>
    <col min="4" max="5" width="18" customWidth="1"/>
  </cols>
  <sheetData>
    <row r="1" spans="1:5" ht="28.05" customHeight="1" x14ac:dyDescent="0.3">
      <c r="A1" s="24" t="s">
        <v>174</v>
      </c>
      <c r="B1" s="21"/>
      <c r="C1" s="21"/>
      <c r="D1" s="21"/>
      <c r="E1" s="21"/>
    </row>
    <row r="2" spans="1:5" ht="26.4" x14ac:dyDescent="0.3">
      <c r="A2" s="8" t="s">
        <v>168</v>
      </c>
      <c r="B2" s="8" t="s">
        <v>169</v>
      </c>
      <c r="C2" s="8" t="s">
        <v>170</v>
      </c>
      <c r="D2" s="8" t="s">
        <v>171</v>
      </c>
      <c r="E2" s="8" t="s">
        <v>172</v>
      </c>
    </row>
    <row r="3" spans="1:5" x14ac:dyDescent="0.3">
      <c r="A3" s="14">
        <v>1</v>
      </c>
      <c r="B3" s="4">
        <v>7.9589999999999996</v>
      </c>
      <c r="C3" s="4">
        <v>2.202</v>
      </c>
      <c r="D3" s="4">
        <v>0.26200000000000001</v>
      </c>
      <c r="E3" s="4">
        <v>133</v>
      </c>
    </row>
    <row r="4" spans="1:5" x14ac:dyDescent="0.3">
      <c r="A4" s="15">
        <v>2</v>
      </c>
      <c r="B4" s="7">
        <v>12.052</v>
      </c>
      <c r="C4" s="7">
        <v>6.335</v>
      </c>
      <c r="D4" s="7">
        <v>0.26200000000000001</v>
      </c>
      <c r="E4" s="7">
        <v>136</v>
      </c>
    </row>
    <row r="5" spans="1:5" x14ac:dyDescent="0.3">
      <c r="A5" s="14">
        <v>3</v>
      </c>
      <c r="B5" s="4">
        <v>10.981999999999999</v>
      </c>
      <c r="C5" s="4">
        <v>5.4009999999999998</v>
      </c>
      <c r="D5" s="4">
        <v>0.23400000000000001</v>
      </c>
      <c r="E5" s="4">
        <v>126</v>
      </c>
    </row>
    <row r="6" spans="1:5" x14ac:dyDescent="0.3">
      <c r="A6" s="15">
        <v>4</v>
      </c>
      <c r="B6" s="7">
        <v>7.9740000000000002</v>
      </c>
      <c r="C6" s="7">
        <v>2.306</v>
      </c>
      <c r="D6" s="7">
        <v>0.25900000000000001</v>
      </c>
      <c r="E6" s="7">
        <v>148</v>
      </c>
    </row>
    <row r="7" spans="1:5" x14ac:dyDescent="0.3">
      <c r="A7" s="14">
        <v>5</v>
      </c>
      <c r="B7" s="4">
        <v>9.0519999999999996</v>
      </c>
      <c r="C7" s="4">
        <v>3.3559999999999999</v>
      </c>
      <c r="D7" s="4">
        <v>0.26100000000000001</v>
      </c>
      <c r="E7" s="4">
        <v>143</v>
      </c>
    </row>
    <row r="8" spans="1:5" x14ac:dyDescent="0.3">
      <c r="A8" s="15">
        <v>6</v>
      </c>
      <c r="B8" s="7">
        <v>8.6750000000000007</v>
      </c>
      <c r="C8" s="7">
        <v>3.2370000000000001</v>
      </c>
      <c r="D8" s="7">
        <v>0.432</v>
      </c>
      <c r="E8" s="7">
        <v>134</v>
      </c>
    </row>
    <row r="9" spans="1:5" x14ac:dyDescent="0.3">
      <c r="A9" s="14">
        <v>7</v>
      </c>
      <c r="B9" s="4">
        <v>34.103999999999999</v>
      </c>
      <c r="C9" s="4">
        <v>27.722999999999999</v>
      </c>
      <c r="D9" s="4">
        <v>0.35699999999999998</v>
      </c>
      <c r="E9" s="4">
        <v>139</v>
      </c>
    </row>
    <row r="10" spans="1:5" x14ac:dyDescent="0.3">
      <c r="A10" s="15">
        <v>8</v>
      </c>
      <c r="B10" s="7">
        <v>10.654</v>
      </c>
      <c r="C10" s="7">
        <v>4.931</v>
      </c>
      <c r="D10" s="7">
        <v>0.28000000000000003</v>
      </c>
      <c r="E10" s="7">
        <v>141</v>
      </c>
    </row>
    <row r="11" spans="1:5" x14ac:dyDescent="0.3">
      <c r="A11" s="14">
        <v>9</v>
      </c>
      <c r="B11" s="4">
        <v>25.99</v>
      </c>
      <c r="C11" s="4">
        <v>19.792000000000002</v>
      </c>
      <c r="D11" s="4">
        <v>0.79800000000000004</v>
      </c>
      <c r="E11" s="4">
        <v>165</v>
      </c>
    </row>
    <row r="12" spans="1:5" x14ac:dyDescent="0.3">
      <c r="A12" s="15">
        <v>10</v>
      </c>
      <c r="B12" s="7">
        <v>11.363</v>
      </c>
      <c r="C12" s="7">
        <v>5.4059999999999997</v>
      </c>
      <c r="D12" s="7">
        <v>0.37</v>
      </c>
      <c r="E12" s="7">
        <v>139</v>
      </c>
    </row>
    <row r="13" spans="1:5" x14ac:dyDescent="0.3">
      <c r="A13" s="14">
        <v>11</v>
      </c>
      <c r="B13" s="4">
        <v>9.9540000000000006</v>
      </c>
      <c r="C13" s="4">
        <v>4.2939999999999996</v>
      </c>
      <c r="D13" s="4">
        <v>0.23100000000000001</v>
      </c>
      <c r="E13" s="4">
        <v>129</v>
      </c>
    </row>
    <row r="14" spans="1:5" x14ac:dyDescent="0.3">
      <c r="A14" s="15">
        <v>12</v>
      </c>
      <c r="B14" s="7">
        <v>10.44</v>
      </c>
      <c r="C14" s="7">
        <v>4.9000000000000004</v>
      </c>
      <c r="D14" s="7">
        <v>0.36299999999999999</v>
      </c>
      <c r="E14" s="7">
        <v>158</v>
      </c>
    </row>
    <row r="15" spans="1:5" x14ac:dyDescent="0.3">
      <c r="A15" s="14">
        <v>13</v>
      </c>
      <c r="B15" s="4">
        <v>8.0370000000000008</v>
      </c>
      <c r="C15" s="4">
        <v>2.665</v>
      </c>
      <c r="D15" s="4">
        <v>0.246</v>
      </c>
      <c r="E15" s="4">
        <v>137</v>
      </c>
    </row>
    <row r="16" spans="1:5" x14ac:dyDescent="0.3">
      <c r="A16" s="15">
        <v>14</v>
      </c>
      <c r="B16" s="7">
        <v>19.289000000000001</v>
      </c>
      <c r="C16" s="7">
        <v>13.112</v>
      </c>
      <c r="D16" s="7">
        <v>0.51200000000000001</v>
      </c>
      <c r="E16" s="7">
        <v>145</v>
      </c>
    </row>
    <row r="17" spans="1:5" x14ac:dyDescent="0.3">
      <c r="A17" s="14">
        <v>15</v>
      </c>
      <c r="B17" s="4">
        <v>18.593</v>
      </c>
      <c r="C17" s="4">
        <v>12.691000000000001</v>
      </c>
      <c r="D17" s="4">
        <v>0.15</v>
      </c>
      <c r="E17" s="4">
        <v>122</v>
      </c>
    </row>
    <row r="18" spans="1:5" x14ac:dyDescent="0.3">
      <c r="A18" s="15">
        <v>16</v>
      </c>
      <c r="B18" s="7">
        <v>13.054</v>
      </c>
      <c r="C18" s="7">
        <v>7.4710000000000001</v>
      </c>
      <c r="D18" s="7">
        <v>0.33800000000000002</v>
      </c>
      <c r="E18" s="7">
        <v>156</v>
      </c>
    </row>
    <row r="19" spans="1:5" x14ac:dyDescent="0.3">
      <c r="A19" s="14">
        <v>17</v>
      </c>
      <c r="B19" s="4">
        <v>7.55</v>
      </c>
      <c r="C19" s="4">
        <v>2.089</v>
      </c>
      <c r="D19" s="4">
        <v>0.189</v>
      </c>
      <c r="E19" s="4">
        <v>143</v>
      </c>
    </row>
    <row r="20" spans="1:5" x14ac:dyDescent="0.3">
      <c r="A20" s="15">
        <v>18</v>
      </c>
      <c r="B20" s="7">
        <v>14.762</v>
      </c>
      <c r="C20" s="7">
        <v>9.1029999999999998</v>
      </c>
      <c r="D20" s="7">
        <v>0.40400000000000003</v>
      </c>
      <c r="E20" s="7">
        <v>152</v>
      </c>
    </row>
    <row r="21" spans="1:5" x14ac:dyDescent="0.3">
      <c r="A21" s="14">
        <v>19</v>
      </c>
      <c r="B21" s="4">
        <v>11.2</v>
      </c>
      <c r="C21" s="4">
        <v>5.415</v>
      </c>
      <c r="D21" s="4">
        <v>0.308</v>
      </c>
      <c r="E21" s="4">
        <v>129</v>
      </c>
    </row>
    <row r="22" spans="1:5" x14ac:dyDescent="0.3">
      <c r="A22" s="15">
        <v>20</v>
      </c>
      <c r="B22" s="7">
        <v>9.4580000000000002</v>
      </c>
      <c r="C22" s="7">
        <v>3.9140000000000001</v>
      </c>
      <c r="D22" s="7">
        <v>0.53600000000000003</v>
      </c>
      <c r="E22" s="7">
        <v>154</v>
      </c>
    </row>
    <row r="23" spans="1:5" x14ac:dyDescent="0.3">
      <c r="A23" s="14">
        <v>21</v>
      </c>
      <c r="B23" s="4">
        <v>11.71</v>
      </c>
      <c r="C23" s="4">
        <v>5.4770000000000003</v>
      </c>
      <c r="D23" s="4">
        <v>0.42499999999999999</v>
      </c>
      <c r="E23" s="4">
        <v>111</v>
      </c>
    </row>
    <row r="24" spans="1:5" x14ac:dyDescent="0.3">
      <c r="A24" s="15">
        <v>22</v>
      </c>
      <c r="B24" s="7">
        <v>15.196</v>
      </c>
      <c r="C24" s="7">
        <v>9.6010000000000009</v>
      </c>
      <c r="D24" s="7">
        <v>0.17799999999999999</v>
      </c>
      <c r="E24" s="7">
        <v>126</v>
      </c>
    </row>
    <row r="25" spans="1:5" x14ac:dyDescent="0.3">
      <c r="A25" s="14">
        <v>23</v>
      </c>
      <c r="B25" s="4">
        <v>18.866</v>
      </c>
      <c r="C25" s="4">
        <v>12.375999999999999</v>
      </c>
      <c r="D25" s="4">
        <v>0.31</v>
      </c>
      <c r="E25" s="4">
        <v>118</v>
      </c>
    </row>
    <row r="26" spans="1:5" x14ac:dyDescent="0.3">
      <c r="A26" s="15">
        <v>24</v>
      </c>
      <c r="B26" s="7">
        <v>10.59</v>
      </c>
      <c r="C26" s="7">
        <v>4.7430000000000003</v>
      </c>
      <c r="D26" s="7">
        <v>0.64700000000000002</v>
      </c>
      <c r="E26" s="7">
        <v>139</v>
      </c>
    </row>
    <row r="27" spans="1:5" x14ac:dyDescent="0.3">
      <c r="A27" s="14">
        <v>25</v>
      </c>
      <c r="B27" s="4">
        <v>11.754</v>
      </c>
      <c r="C27" s="4">
        <v>5.8869999999999996</v>
      </c>
      <c r="D27" s="4">
        <v>0.221</v>
      </c>
      <c r="E27" s="4">
        <v>138</v>
      </c>
    </row>
    <row r="28" spans="1:5" x14ac:dyDescent="0.3">
      <c r="A28" s="15">
        <v>26</v>
      </c>
      <c r="B28" s="7">
        <v>58.585000000000001</v>
      </c>
      <c r="C28" s="7">
        <v>52.21</v>
      </c>
      <c r="D28" s="7">
        <v>0.216</v>
      </c>
      <c r="E28" s="7">
        <v>138</v>
      </c>
    </row>
    <row r="29" spans="1:5" x14ac:dyDescent="0.3">
      <c r="A29" s="14">
        <v>27</v>
      </c>
      <c r="B29" s="4">
        <v>11.215999999999999</v>
      </c>
      <c r="C29" s="4">
        <v>5.3719999999999999</v>
      </c>
      <c r="D29" s="4">
        <v>0.54</v>
      </c>
      <c r="E29" s="4">
        <v>151</v>
      </c>
    </row>
    <row r="30" spans="1:5" x14ac:dyDescent="0.3">
      <c r="A30" s="15">
        <v>28</v>
      </c>
      <c r="B30" s="7">
        <v>41.936</v>
      </c>
      <c r="C30" s="7">
        <v>35.393999999999998</v>
      </c>
      <c r="D30" s="7">
        <v>0.224</v>
      </c>
      <c r="E30" s="7">
        <v>142</v>
      </c>
    </row>
    <row r="31" spans="1:5" x14ac:dyDescent="0.3">
      <c r="A31" s="14">
        <v>29</v>
      </c>
      <c r="B31" s="4">
        <v>14.279</v>
      </c>
      <c r="C31" s="4">
        <v>8.5030000000000001</v>
      </c>
      <c r="D31" s="4">
        <v>0.32800000000000001</v>
      </c>
      <c r="E31" s="4">
        <v>132</v>
      </c>
    </row>
    <row r="32" spans="1:5" x14ac:dyDescent="0.3">
      <c r="A32" s="15">
        <v>30</v>
      </c>
      <c r="B32" s="7">
        <v>22.864999999999998</v>
      </c>
      <c r="C32" s="7">
        <v>16.536999999999999</v>
      </c>
      <c r="D32" s="7">
        <v>0.33800000000000002</v>
      </c>
      <c r="E32" s="7">
        <v>145</v>
      </c>
    </row>
    <row r="34" spans="1:5" x14ac:dyDescent="0.3">
      <c r="A34" s="23" t="s">
        <v>173</v>
      </c>
      <c r="B34" s="19">
        <f>AVERAGE(B3:B33)</f>
        <v>15.937966666666666</v>
      </c>
      <c r="C34" s="19">
        <f>AVERAGE(C3:C33)</f>
        <v>10.081433333333333</v>
      </c>
      <c r="D34" s="19">
        <f>AVERAGE(D3:D33)</f>
        <v>0.34063333333333329</v>
      </c>
      <c r="E34" s="19">
        <f>AVERAGE(E3:E33)</f>
        <v>138.96666666666667</v>
      </c>
    </row>
  </sheetData>
  <mergeCells count="2">
    <mergeCell ref="A1:E1"/>
    <mergeCell ref="A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>
      <selection sqref="A1:G1"/>
    </sheetView>
  </sheetViews>
  <sheetFormatPr defaultRowHeight="14.4" x14ac:dyDescent="0.3"/>
  <cols>
    <col min="1" max="1" width="26" customWidth="1"/>
    <col min="2" max="2" width="16" customWidth="1"/>
    <col min="3" max="4" width="14" customWidth="1"/>
    <col min="5" max="5" width="16" customWidth="1"/>
    <col min="6" max="7" width="14" customWidth="1"/>
  </cols>
  <sheetData>
    <row r="1" spans="1:7" ht="28.05" customHeight="1" x14ac:dyDescent="0.3">
      <c r="A1" s="24" t="s">
        <v>175</v>
      </c>
      <c r="B1" s="21"/>
      <c r="C1" s="21"/>
      <c r="D1" s="21"/>
      <c r="E1" s="21"/>
      <c r="F1" s="21"/>
      <c r="G1" s="21"/>
    </row>
    <row r="2" spans="1:7" x14ac:dyDescent="0.3">
      <c r="A2" s="8" t="s">
        <v>88</v>
      </c>
      <c r="B2" s="8" t="s">
        <v>176</v>
      </c>
      <c r="C2" s="8" t="s">
        <v>177</v>
      </c>
      <c r="D2" s="8" t="s">
        <v>178</v>
      </c>
      <c r="E2" s="8" t="s">
        <v>179</v>
      </c>
      <c r="F2" s="8" t="s">
        <v>180</v>
      </c>
      <c r="G2" s="8" t="s">
        <v>181</v>
      </c>
    </row>
    <row r="3" spans="1:7" x14ac:dyDescent="0.3">
      <c r="A3" s="2" t="s">
        <v>169</v>
      </c>
      <c r="B3" s="4">
        <v>19.234999999999999</v>
      </c>
      <c r="C3" s="4">
        <v>15.583</v>
      </c>
      <c r="D3" s="4">
        <v>22.887</v>
      </c>
      <c r="E3" s="4">
        <v>15.938000000000001</v>
      </c>
      <c r="F3" s="4">
        <v>11.731999999999999</v>
      </c>
      <c r="G3" s="4">
        <v>20.143999999999998</v>
      </c>
    </row>
    <row r="4" spans="1:7" x14ac:dyDescent="0.3">
      <c r="A4" s="5" t="s">
        <v>170</v>
      </c>
      <c r="B4" s="7">
        <v>13.416</v>
      </c>
      <c r="C4" s="7">
        <v>9.843</v>
      </c>
      <c r="D4" s="7">
        <v>16.989999999999998</v>
      </c>
      <c r="E4" s="7">
        <v>10.081</v>
      </c>
      <c r="F4" s="7">
        <v>5.9660000000000002</v>
      </c>
      <c r="G4" s="7">
        <v>14.196</v>
      </c>
    </row>
    <row r="5" spans="1:7" x14ac:dyDescent="0.3">
      <c r="A5" s="2" t="s">
        <v>182</v>
      </c>
      <c r="B5" s="4">
        <v>2.1970000000000001</v>
      </c>
      <c r="C5" s="4">
        <v>1.7470000000000001</v>
      </c>
      <c r="D5" s="4">
        <v>2.6469999999999998</v>
      </c>
      <c r="E5" s="4">
        <v>0.34100000000000003</v>
      </c>
      <c r="F5" s="4">
        <v>0.28599999999999998</v>
      </c>
      <c r="G5" s="4">
        <v>0.39500000000000002</v>
      </c>
    </row>
    <row r="6" spans="1:7" x14ac:dyDescent="0.3">
      <c r="A6" s="5" t="s">
        <v>183</v>
      </c>
      <c r="B6" s="7">
        <v>142.30000000000001</v>
      </c>
      <c r="C6" s="7">
        <v>137.19999999999999</v>
      </c>
      <c r="D6" s="7">
        <v>147.4</v>
      </c>
      <c r="E6" s="7">
        <v>139</v>
      </c>
      <c r="F6" s="7">
        <v>134.5</v>
      </c>
      <c r="G6" s="7">
        <v>143.5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Raw Data (120 obs.)</vt:lpstr>
      <vt:lpstr>Descriptive Statistics</vt:lpstr>
      <vt:lpstr>Distribution Fitting</vt:lpstr>
      <vt:lpstr>Queueing Theory</vt:lpstr>
      <vt:lpstr>Manual Trace (15 pkgs)</vt:lpstr>
      <vt:lpstr>State Variables</vt:lpstr>
      <vt:lpstr>Event Definitions</vt:lpstr>
      <vt:lpstr>Simulation Results – A</vt:lpstr>
      <vt:lpstr>Simulation Results – B</vt:lpstr>
      <vt:lpstr>Confidence 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2026-03-30T11:47:25Z</dcterms:created>
  <dcterms:modified xsi:type="dcterms:W3CDTF">2026-04-16T11:11:41Z</dcterms:modified>
</cp:coreProperties>
</file>